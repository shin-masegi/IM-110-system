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R:\10_書込制限無し(回覧など)\04_設計部より\36-15 IMシリーズCPU設計変更\設計検証・妥当性評価結果\"/>
    </mc:Choice>
  </mc:AlternateContent>
  <xr:revisionPtr revIDLastSave="0" documentId="13_ncr:1_{8257B658-172C-4C4F-B581-51D9EA458275}" xr6:coauthVersionLast="47" xr6:coauthVersionMax="47" xr10:uidLastSave="{00000000-0000-0000-0000-000000000000}"/>
  <bookViews>
    <workbookView minimized="1" xWindow="4012" yWindow="4012" windowWidth="21601" windowHeight="11385" tabRatio="714" xr2:uid="{00000000-000D-0000-FFFF-FFFF00000000}"/>
  </bookViews>
  <sheets>
    <sheet name="評価試験結果" sheetId="24" r:id="rId1"/>
    <sheet name="基板調整" sheetId="25" r:id="rId2"/>
    <sheet name="動作確認" sheetId="27" r:id="rId3"/>
    <sheet name="出荷検査" sheetId="28" r:id="rId4"/>
    <sheet name="抜き取り検査" sheetId="29" r:id="rId5"/>
    <sheet name="合否基準変更" sheetId="30" r:id="rId6"/>
  </sheets>
  <definedNames>
    <definedName name="_xlnm.Print_Area" localSheetId="0">評価試験結果!$A$1:$R$60</definedName>
    <definedName name="_xlnm.Print_Titles" localSheetId="0">評価試験結果!$16:$19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29" l="1"/>
  <c r="H34" i="29"/>
  <c r="J27" i="29"/>
  <c r="H27" i="29"/>
  <c r="I19" i="29"/>
  <c r="J19" i="29"/>
  <c r="K19" i="29"/>
  <c r="H19" i="29"/>
  <c r="M10" i="28" l="1"/>
  <c r="M9" i="28"/>
  <c r="M8" i="28"/>
  <c r="J9" i="28"/>
  <c r="J10" i="28"/>
  <c r="J8" i="28"/>
</calcChain>
</file>

<file path=xl/sharedStrings.xml><?xml version="1.0" encoding="utf-8"?>
<sst xmlns="http://schemas.openxmlformats.org/spreadsheetml/2006/main" count="288" uniqueCount="161">
  <si>
    <t>№</t>
    <phoneticPr fontId="1"/>
  </si>
  <si>
    <t>1.入力・目的</t>
    <rPh sb="2" eb="4">
      <t>ニュウリョク</t>
    </rPh>
    <rPh sb="5" eb="7">
      <t>モクテキ</t>
    </rPh>
    <phoneticPr fontId="1"/>
  </si>
  <si>
    <t>試験方法（確認内容）</t>
    <rPh sb="0" eb="2">
      <t>シケン</t>
    </rPh>
    <rPh sb="2" eb="4">
      <t>ホウホウ</t>
    </rPh>
    <rPh sb="5" eb="7">
      <t>カクニン</t>
    </rPh>
    <rPh sb="7" eb="9">
      <t>ナイヨウ</t>
    </rPh>
    <phoneticPr fontId="1"/>
  </si>
  <si>
    <t>結果</t>
    <rPh sb="0" eb="2">
      <t>ケッカ</t>
    </rPh>
    <phoneticPr fontId="1"/>
  </si>
  <si>
    <t>合否</t>
    <rPh sb="0" eb="2">
      <t>ゴウヒ</t>
    </rPh>
    <phoneticPr fontId="1"/>
  </si>
  <si>
    <t>業務番号</t>
    <rPh sb="0" eb="2">
      <t>ギョウム</t>
    </rPh>
    <rPh sb="2" eb="4">
      <t>バンゴウ</t>
    </rPh>
    <phoneticPr fontId="1"/>
  </si>
  <si>
    <t>データ</t>
    <phoneticPr fontId="1"/>
  </si>
  <si>
    <t>製品規格
検査基準
合否基準</t>
    <rPh sb="0" eb="2">
      <t>セイヒン</t>
    </rPh>
    <rPh sb="2" eb="4">
      <t>キカク</t>
    </rPh>
    <rPh sb="5" eb="7">
      <t>ケンサ</t>
    </rPh>
    <rPh sb="7" eb="9">
      <t>キジュン</t>
    </rPh>
    <rPh sb="10" eb="12">
      <t>ゴウヒ</t>
    </rPh>
    <rPh sb="12" eb="14">
      <t>キジュン</t>
    </rPh>
    <phoneticPr fontId="1"/>
  </si>
  <si>
    <t>試験項目
（仕様書項目No.）</t>
    <rPh sb="0" eb="2">
      <t>シケン</t>
    </rPh>
    <rPh sb="2" eb="4">
      <t>コウモク</t>
    </rPh>
    <rPh sb="6" eb="9">
      <t>シヨウショ</t>
    </rPh>
    <rPh sb="9" eb="11">
      <t>コウモク</t>
    </rPh>
    <phoneticPr fontId="1"/>
  </si>
  <si>
    <t>製品検査・試験規格
該当項目番号</t>
    <rPh sb="0" eb="2">
      <t>セイヒン</t>
    </rPh>
    <rPh sb="2" eb="4">
      <t>ケンサ</t>
    </rPh>
    <rPh sb="5" eb="7">
      <t>シケン</t>
    </rPh>
    <rPh sb="7" eb="9">
      <t>キカク</t>
    </rPh>
    <rPh sb="10" eb="12">
      <t>ガイトウ</t>
    </rPh>
    <rPh sb="12" eb="14">
      <t>コウモク</t>
    </rPh>
    <rPh sb="14" eb="16">
      <t>バンゴウ</t>
    </rPh>
    <phoneticPr fontId="1"/>
  </si>
  <si>
    <t>※：　No.3のMLSS温度特性調整で、誤差が合格範囲に収まるまで調整を繰り返す。</t>
    <rPh sb="12" eb="14">
      <t>オンド</t>
    </rPh>
    <rPh sb="14" eb="16">
      <t>トクセイ</t>
    </rPh>
    <rPh sb="16" eb="18">
      <t>チョウセイ</t>
    </rPh>
    <rPh sb="20" eb="22">
      <t>ゴサ</t>
    </rPh>
    <rPh sb="23" eb="25">
      <t>ゴウカク</t>
    </rPh>
    <rPh sb="25" eb="27">
      <t>ハンイ</t>
    </rPh>
    <rPh sb="28" eb="29">
      <t>オサ</t>
    </rPh>
    <rPh sb="33" eb="35">
      <t>チョウセイ</t>
    </rPh>
    <rPh sb="36" eb="37">
      <t>ク</t>
    </rPh>
    <rPh sb="38" eb="39">
      <t>カエ</t>
    </rPh>
    <phoneticPr fontId="1"/>
  </si>
  <si>
    <t>MLSS用LED電流
(mV AC)</t>
    <rPh sb="4" eb="5">
      <t>ヨウ</t>
    </rPh>
    <rPh sb="8" eb="10">
      <t>デンリュウ</t>
    </rPh>
    <phoneticPr fontId="1"/>
  </si>
  <si>
    <t>±7mV以内</t>
    <rPh sb="4" eb="6">
      <t>イナイ</t>
    </rPh>
    <phoneticPr fontId="1"/>
  </si>
  <si>
    <t>誤差
(35℃-5℃)</t>
    <rPh sb="0" eb="2">
      <t>ゴサ</t>
    </rPh>
    <phoneticPr fontId="1"/>
  </si>
  <si>
    <t>35℃</t>
  </si>
  <si>
    <t>5℃</t>
  </si>
  <si>
    <t>MLSS温度特性
調整(mV DC)</t>
    <rPh sb="4" eb="6">
      <t>オンド</t>
    </rPh>
    <rPh sb="6" eb="8">
      <t>トクセイ</t>
    </rPh>
    <rPh sb="9" eb="11">
      <t>チョウセイ</t>
    </rPh>
    <phoneticPr fontId="1"/>
  </si>
  <si>
    <t>1840～1860mV</t>
  </si>
  <si>
    <t>20℃</t>
  </si>
  <si>
    <t>MLSS出力調整
(mV DC)</t>
    <rPh sb="4" eb="6">
      <t>シュツリョク</t>
    </rPh>
    <rPh sb="6" eb="8">
      <t>チョウセイ</t>
    </rPh>
    <phoneticPr fontId="1"/>
  </si>
  <si>
    <t>MLSS用LED電圧
(mV AC)</t>
    <rPh sb="4" eb="5">
      <t>ヨウ</t>
    </rPh>
    <rPh sb="8" eb="10">
      <t>デンアツ</t>
    </rPh>
    <phoneticPr fontId="1"/>
  </si>
  <si>
    <t>MLSS温度特性
(mV DC)</t>
    <rPh sb="4" eb="6">
      <t>オンド</t>
    </rPh>
    <rPh sb="6" eb="8">
      <t>トクセイ</t>
    </rPh>
    <phoneticPr fontId="1"/>
  </si>
  <si>
    <t>615.5～616.5mV
（調整1回目のみ)</t>
    <rPh sb="15" eb="17">
      <t>チョウセイ</t>
    </rPh>
    <rPh sb="18" eb="20">
      <t>カイメ</t>
    </rPh>
    <phoneticPr fontId="1"/>
  </si>
  <si>
    <t>試作③</t>
    <rPh sb="0" eb="2">
      <t>シサク</t>
    </rPh>
    <phoneticPr fontId="1"/>
  </si>
  <si>
    <t>試作②</t>
    <rPh sb="0" eb="2">
      <t>シサク</t>
    </rPh>
    <phoneticPr fontId="1"/>
  </si>
  <si>
    <t>合否基準</t>
    <rPh sb="0" eb="2">
      <t>ゴウヒ</t>
    </rPh>
    <rPh sb="2" eb="4">
      <t>キジュン</t>
    </rPh>
    <phoneticPr fontId="1"/>
  </si>
  <si>
    <t>検査項目名</t>
    <rPh sb="0" eb="2">
      <t>ケンサ</t>
    </rPh>
    <rPh sb="2" eb="4">
      <t>コウモク</t>
    </rPh>
    <rPh sb="4" eb="5">
      <t>メイ</t>
    </rPh>
    <phoneticPr fontId="1"/>
  </si>
  <si>
    <t>項目
No.</t>
    <rPh sb="0" eb="2">
      <t>コウモク</t>
    </rPh>
    <phoneticPr fontId="1"/>
  </si>
  <si>
    <t>A/D入力の確認
(MLSS空気中出力)</t>
    <rPh sb="3" eb="5">
      <t>ニュウリョク</t>
    </rPh>
    <rPh sb="6" eb="8">
      <t>カクニン</t>
    </rPh>
    <rPh sb="14" eb="17">
      <t>クウキチュウ</t>
    </rPh>
    <rPh sb="17" eb="19">
      <t>シュツリョク</t>
    </rPh>
    <phoneticPr fontId="1"/>
  </si>
  <si>
    <t>遮光ゼロ校正</t>
    <rPh sb="0" eb="2">
      <t>シャコウ</t>
    </rPh>
    <rPh sb="4" eb="6">
      <t>コウセイ</t>
    </rPh>
    <phoneticPr fontId="1"/>
  </si>
  <si>
    <t>D</t>
    <phoneticPr fontId="1"/>
  </si>
  <si>
    <t>G</t>
    <phoneticPr fontId="1"/>
  </si>
  <si>
    <t>H</t>
    <phoneticPr fontId="1"/>
  </si>
  <si>
    <t>I</t>
    <phoneticPr fontId="1"/>
  </si>
  <si>
    <t>1600～1800mV</t>
    <phoneticPr fontId="1"/>
  </si>
  <si>
    <t>0表示する事</t>
    <rPh sb="1" eb="3">
      <t>ヒョウジ</t>
    </rPh>
    <rPh sb="5" eb="6">
      <t>コト</t>
    </rPh>
    <phoneticPr fontId="1"/>
  </si>
  <si>
    <t>表示のカケ、
値のふらつきない事</t>
    <rPh sb="0" eb="2">
      <t>ヒョウジ</t>
    </rPh>
    <rPh sb="7" eb="8">
      <t>アタイ</t>
    </rPh>
    <rPh sb="15" eb="16">
      <t>コト</t>
    </rPh>
    <phoneticPr fontId="1"/>
  </si>
  <si>
    <t>純水ゼロ校正</t>
    <rPh sb="0" eb="2">
      <t>ジュンスイ</t>
    </rPh>
    <rPh sb="4" eb="6">
      <t>コウセイ</t>
    </rPh>
    <phoneticPr fontId="1"/>
  </si>
  <si>
    <t>振動によるふらつき確認</t>
    <rPh sb="0" eb="2">
      <t>シンドウ</t>
    </rPh>
    <rPh sb="9" eb="11">
      <t>カクニン</t>
    </rPh>
    <phoneticPr fontId="1"/>
  </si>
  <si>
    <t>なし</t>
    <phoneticPr fontId="1"/>
  </si>
  <si>
    <t>なし</t>
    <phoneticPr fontId="1"/>
  </si>
  <si>
    <t>OK</t>
    <phoneticPr fontId="1"/>
  </si>
  <si>
    <t>OK</t>
    <phoneticPr fontId="1"/>
  </si>
  <si>
    <t>結果</t>
    <rPh sb="0" eb="2">
      <t>ケッカ</t>
    </rPh>
    <phoneticPr fontId="1"/>
  </si>
  <si>
    <t>合否</t>
    <rPh sb="0" eb="2">
      <t>ゴウヒ</t>
    </rPh>
    <phoneticPr fontId="1"/>
  </si>
  <si>
    <t>OK</t>
    <phoneticPr fontId="1"/>
  </si>
  <si>
    <t>±60mg/L</t>
    <phoneticPr fontId="1"/>
  </si>
  <si>
    <t>2400mg/L付近</t>
    <rPh sb="8" eb="10">
      <t>フキン</t>
    </rPh>
    <phoneticPr fontId="1"/>
  </si>
  <si>
    <t>1200mg/L付近</t>
    <rPh sb="8" eb="10">
      <t>フキン</t>
    </rPh>
    <phoneticPr fontId="1"/>
  </si>
  <si>
    <t>基準器
との差</t>
    <rPh sb="0" eb="2">
      <t>キジュン</t>
    </rPh>
    <rPh sb="2" eb="3">
      <t>キ</t>
    </rPh>
    <rPh sb="6" eb="7">
      <t>サ</t>
    </rPh>
    <phoneticPr fontId="1"/>
  </si>
  <si>
    <t>MLSS値
(mg/L)</t>
    <rPh sb="4" eb="5">
      <t>アタイ</t>
    </rPh>
    <phoneticPr fontId="1"/>
  </si>
  <si>
    <t>IM-50P出荷検査チェックシートに沿った検査結果</t>
    <rPh sb="6" eb="8">
      <t>シュッカ</t>
    </rPh>
    <rPh sb="8" eb="10">
      <t>ケンサ</t>
    </rPh>
    <rPh sb="18" eb="19">
      <t>ソ</t>
    </rPh>
    <rPh sb="21" eb="23">
      <t>ケンサ</t>
    </rPh>
    <rPh sb="23" eb="25">
      <t>ケッカ</t>
    </rPh>
    <phoneticPr fontId="1"/>
  </si>
  <si>
    <t>IM-50P・IM-80P基板調整、動作確認チェックシートに沿った調整結果</t>
    <rPh sb="18" eb="20">
      <t>ドウサ</t>
    </rPh>
    <rPh sb="20" eb="22">
      <t>カクニン</t>
    </rPh>
    <rPh sb="30" eb="31">
      <t>ソ</t>
    </rPh>
    <rPh sb="33" eb="35">
      <t>チョウセイ</t>
    </rPh>
    <rPh sb="35" eb="37">
      <t>ケッカ</t>
    </rPh>
    <phoneticPr fontId="1"/>
  </si>
  <si>
    <t>静電気試験</t>
    <rPh sb="0" eb="3">
      <t>セイデンキ</t>
    </rPh>
    <rPh sb="3" eb="5">
      <t>シケン</t>
    </rPh>
    <phoneticPr fontId="1"/>
  </si>
  <si>
    <t>ゼロドリフト試験</t>
    <rPh sb="6" eb="8">
      <t>シケン</t>
    </rPh>
    <phoneticPr fontId="1"/>
  </si>
  <si>
    <t>スパンドリフト試験</t>
    <rPh sb="7" eb="9">
      <t>シケン</t>
    </rPh>
    <phoneticPr fontId="1"/>
  </si>
  <si>
    <t>1KV</t>
  </si>
  <si>
    <t>2KV</t>
  </si>
  <si>
    <t>3KV</t>
  </si>
  <si>
    <t>4KV</t>
  </si>
  <si>
    <t>ふらつき、フリーズ無き事。　発生しても電源再起動で復帰する事</t>
    <rPh sb="9" eb="10">
      <t>ナ</t>
    </rPh>
    <rPh sb="11" eb="12">
      <t>コト</t>
    </rPh>
    <rPh sb="14" eb="16">
      <t>ハッセイ</t>
    </rPh>
    <rPh sb="19" eb="21">
      <t>デンゲン</t>
    </rPh>
    <rPh sb="21" eb="24">
      <t>サイキドウ</t>
    </rPh>
    <rPh sb="25" eb="27">
      <t>フッキ</t>
    </rPh>
    <rPh sb="29" eb="30">
      <t>コト</t>
    </rPh>
    <phoneticPr fontId="1"/>
  </si>
  <si>
    <t>1回目</t>
    <rPh sb="1" eb="3">
      <t>カイメ</t>
    </rPh>
    <phoneticPr fontId="1"/>
  </si>
  <si>
    <t>2回目</t>
    <rPh sb="1" eb="3">
      <t>カイメ</t>
    </rPh>
    <phoneticPr fontId="1"/>
  </si>
  <si>
    <t>3回目</t>
    <rPh sb="1" eb="3">
      <t>カイメ</t>
    </rPh>
    <phoneticPr fontId="1"/>
  </si>
  <si>
    <t>平均</t>
    <rPh sb="0" eb="2">
      <t>ヘイキン</t>
    </rPh>
    <phoneticPr fontId="1"/>
  </si>
  <si>
    <t>誤差</t>
    <rPh sb="0" eb="2">
      <t>ゴサ</t>
    </rPh>
    <phoneticPr fontId="1"/>
  </si>
  <si>
    <t>1分後</t>
    <rPh sb="1" eb="2">
      <t>フン</t>
    </rPh>
    <rPh sb="2" eb="3">
      <t>ゴ</t>
    </rPh>
    <phoneticPr fontId="1"/>
  </si>
  <si>
    <t>30分後</t>
    <rPh sb="2" eb="3">
      <t>フン</t>
    </rPh>
    <rPh sb="3" eb="4">
      <t>ゴ</t>
    </rPh>
    <phoneticPr fontId="1"/>
  </si>
  <si>
    <t>4.0V</t>
    <phoneticPr fontId="1"/>
  </si>
  <si>
    <t>5.0V</t>
    <phoneticPr fontId="1"/>
  </si>
  <si>
    <t>0mg/L</t>
    <phoneticPr fontId="1"/>
  </si>
  <si>
    <t>9600mg/L</t>
    <phoneticPr fontId="1"/>
  </si>
  <si>
    <t>なし</t>
  </si>
  <si>
    <t>なし</t>
    <phoneticPr fontId="1"/>
  </si>
  <si>
    <t>OK</t>
    <phoneticPr fontId="1"/>
  </si>
  <si>
    <t>OK</t>
    <phoneticPr fontId="1"/>
  </si>
  <si>
    <t>指示値</t>
    <rPh sb="0" eb="2">
      <t>シジ</t>
    </rPh>
    <rPh sb="2" eb="3">
      <t>チ</t>
    </rPh>
    <phoneticPr fontId="1"/>
  </si>
  <si>
    <t>合否</t>
    <rPh sb="0" eb="2">
      <t>ゴウヒ</t>
    </rPh>
    <phoneticPr fontId="1"/>
  </si>
  <si>
    <t>4.5V(基準)</t>
    <rPh sb="5" eb="7">
      <t>キジュン</t>
    </rPh>
    <phoneticPr fontId="1"/>
  </si>
  <si>
    <t>1分後と30分後の差が±190mg/L(1分後の±2%)以内</t>
    <rPh sb="1" eb="2">
      <t>フン</t>
    </rPh>
    <rPh sb="2" eb="3">
      <t>ゴ</t>
    </rPh>
    <rPh sb="6" eb="7">
      <t>フン</t>
    </rPh>
    <rPh sb="7" eb="8">
      <t>ゴ</t>
    </rPh>
    <rPh sb="9" eb="10">
      <t>サ</t>
    </rPh>
    <rPh sb="21" eb="22">
      <t>フン</t>
    </rPh>
    <rPh sb="22" eb="23">
      <t>ゴ</t>
    </rPh>
    <rPh sb="28" eb="30">
      <t>イナイ</t>
    </rPh>
    <phoneticPr fontId="1"/>
  </si>
  <si>
    <t>1分後と30分後の差が±100mg/L以内</t>
    <rPh sb="1" eb="2">
      <t>フン</t>
    </rPh>
    <rPh sb="2" eb="3">
      <t>ゴ</t>
    </rPh>
    <rPh sb="6" eb="7">
      <t>フン</t>
    </rPh>
    <rPh sb="7" eb="8">
      <t>ゴ</t>
    </rPh>
    <rPh sb="9" eb="10">
      <t>サ</t>
    </rPh>
    <rPh sb="19" eb="21">
      <t>イナイ</t>
    </rPh>
    <phoneticPr fontId="1"/>
  </si>
  <si>
    <t>4.5V時と各電圧時の指示値の差が±10mg/L以内</t>
    <rPh sb="4" eb="5">
      <t>ジ</t>
    </rPh>
    <rPh sb="6" eb="7">
      <t>カク</t>
    </rPh>
    <rPh sb="7" eb="9">
      <t>デンアツ</t>
    </rPh>
    <rPh sb="9" eb="10">
      <t>ジ</t>
    </rPh>
    <rPh sb="11" eb="13">
      <t>シジ</t>
    </rPh>
    <rPh sb="13" eb="14">
      <t>チ</t>
    </rPh>
    <rPh sb="15" eb="16">
      <t>サ</t>
    </rPh>
    <rPh sb="24" eb="26">
      <t>イナイ</t>
    </rPh>
    <phoneticPr fontId="1"/>
  </si>
  <si>
    <t>検査手順</t>
    <rPh sb="0" eb="2">
      <t>ケンサ</t>
    </rPh>
    <rPh sb="2" eb="4">
      <t>テジュン</t>
    </rPh>
    <phoneticPr fontId="1"/>
  </si>
  <si>
    <t>純水←→9600mg/L基準液の測定を3回繰り返す</t>
    <rPh sb="0" eb="2">
      <t>ジュンスイ</t>
    </rPh>
    <rPh sb="12" eb="14">
      <t>キジュン</t>
    </rPh>
    <rPh sb="14" eb="15">
      <t>エキ</t>
    </rPh>
    <rPh sb="16" eb="18">
      <t>ソクテイ</t>
    </rPh>
    <rPh sb="20" eb="21">
      <t>カイ</t>
    </rPh>
    <rPh sb="21" eb="22">
      <t>ク</t>
    </rPh>
    <rPh sb="23" eb="24">
      <t>カエ</t>
    </rPh>
    <phoneticPr fontId="1"/>
  </si>
  <si>
    <t>大気中の指示値の変動を確認する</t>
    <phoneticPr fontId="1"/>
  </si>
  <si>
    <t>ビニールなどで9600mg/L付近になるように調整し、変動を確認する</t>
    <phoneticPr fontId="1"/>
  </si>
  <si>
    <t>ビニールなどで9600mg/L付近になるように調整し、電源変動に対する指示値の変動を確認する</t>
    <rPh sb="27" eb="29">
      <t>デンゲン</t>
    </rPh>
    <rPh sb="29" eb="31">
      <t>ヘンドウ</t>
    </rPh>
    <rPh sb="32" eb="33">
      <t>タイ</t>
    </rPh>
    <rPh sb="35" eb="37">
      <t>シジ</t>
    </rPh>
    <rPh sb="37" eb="38">
      <t>チ</t>
    </rPh>
    <phoneticPr fontId="1"/>
  </si>
  <si>
    <t>MLSS繰り返し性
試験</t>
    <rPh sb="4" eb="5">
      <t>ク</t>
    </rPh>
    <rPh sb="6" eb="7">
      <t>カエ</t>
    </rPh>
    <rPh sb="8" eb="9">
      <t>セイ</t>
    </rPh>
    <rPh sb="10" eb="12">
      <t>シケン</t>
    </rPh>
    <phoneticPr fontId="1"/>
  </si>
  <si>
    <t>電源変動による
安定性</t>
    <rPh sb="0" eb="2">
      <t>デンゲン</t>
    </rPh>
    <rPh sb="2" eb="4">
      <t>ヘンドウ</t>
    </rPh>
    <rPh sb="8" eb="11">
      <t>アンテイセイ</t>
    </rPh>
    <phoneticPr fontId="1"/>
  </si>
  <si>
    <t>IM-50P抜き取り検査チェックシート 項目No.1 に沿った検査結果</t>
    <rPh sb="6" eb="7">
      <t>ヌ</t>
    </rPh>
    <rPh sb="8" eb="9">
      <t>ト</t>
    </rPh>
    <rPh sb="10" eb="12">
      <t>ケンサ</t>
    </rPh>
    <rPh sb="20" eb="22">
      <t>コウモク</t>
    </rPh>
    <rPh sb="28" eb="29">
      <t>ソ</t>
    </rPh>
    <rPh sb="31" eb="33">
      <t>ケンサ</t>
    </rPh>
    <rPh sb="33" eb="35">
      <t>ケッカ</t>
    </rPh>
    <phoneticPr fontId="1"/>
  </si>
  <si>
    <t>プローブ部に1～4KVを接触放電し、値のふらつき、フリーズ無き事を確認する</t>
    <rPh sb="4" eb="5">
      <t>ブ</t>
    </rPh>
    <rPh sb="12" eb="14">
      <t>セッショク</t>
    </rPh>
    <rPh sb="14" eb="16">
      <t>ホウデン</t>
    </rPh>
    <rPh sb="18" eb="19">
      <t>アタイ</t>
    </rPh>
    <rPh sb="29" eb="30">
      <t>ナ</t>
    </rPh>
    <rPh sb="31" eb="32">
      <t>コト</t>
    </rPh>
    <rPh sb="33" eb="35">
      <t>カクニン</t>
    </rPh>
    <phoneticPr fontId="1"/>
  </si>
  <si>
    <t>IM-50P抜き取り検査チェックシート 項目No.2 に沿った検査結果</t>
    <rPh sb="6" eb="7">
      <t>ヌ</t>
    </rPh>
    <rPh sb="8" eb="9">
      <t>ト</t>
    </rPh>
    <rPh sb="10" eb="12">
      <t>ケンサ</t>
    </rPh>
    <rPh sb="20" eb="22">
      <t>コウモク</t>
    </rPh>
    <rPh sb="28" eb="29">
      <t>ソ</t>
    </rPh>
    <rPh sb="31" eb="33">
      <t>ケンサ</t>
    </rPh>
    <rPh sb="33" eb="35">
      <t>ケッカ</t>
    </rPh>
    <phoneticPr fontId="1"/>
  </si>
  <si>
    <t>IM-50P抜き取り検査チェックシート 項目No.3 に沿った検査結果</t>
    <rPh sb="6" eb="7">
      <t>ヌ</t>
    </rPh>
    <rPh sb="8" eb="9">
      <t>ト</t>
    </rPh>
    <rPh sb="10" eb="12">
      <t>ケンサ</t>
    </rPh>
    <rPh sb="20" eb="22">
      <t>コウモク</t>
    </rPh>
    <rPh sb="28" eb="29">
      <t>ソ</t>
    </rPh>
    <rPh sb="31" eb="33">
      <t>ケンサ</t>
    </rPh>
    <rPh sb="33" eb="35">
      <t>ケッカ</t>
    </rPh>
    <phoneticPr fontId="1"/>
  </si>
  <si>
    <t>IM-50P抜き取り検査チェックシート 項目No.4 に沿った検査結果</t>
    <rPh sb="6" eb="7">
      <t>ヌ</t>
    </rPh>
    <rPh sb="8" eb="9">
      <t>ト</t>
    </rPh>
    <rPh sb="10" eb="12">
      <t>ケンサ</t>
    </rPh>
    <rPh sb="20" eb="22">
      <t>コウモク</t>
    </rPh>
    <rPh sb="28" eb="29">
      <t>ソ</t>
    </rPh>
    <rPh sb="31" eb="33">
      <t>ケンサ</t>
    </rPh>
    <rPh sb="33" eb="35">
      <t>ケッカ</t>
    </rPh>
    <phoneticPr fontId="1"/>
  </si>
  <si>
    <t>IM-50P抜き取り検査チェックシート 項目No.5 に沿った検査結果</t>
    <rPh sb="6" eb="7">
      <t>ヌ</t>
    </rPh>
    <rPh sb="8" eb="9">
      <t>ト</t>
    </rPh>
    <rPh sb="10" eb="12">
      <t>ケンサ</t>
    </rPh>
    <rPh sb="20" eb="22">
      <t>コウモク</t>
    </rPh>
    <rPh sb="28" eb="29">
      <t>ソ</t>
    </rPh>
    <rPh sb="31" eb="33">
      <t>ケンサ</t>
    </rPh>
    <rPh sb="33" eb="35">
      <t>ケッカ</t>
    </rPh>
    <phoneticPr fontId="1"/>
  </si>
  <si>
    <t xml:space="preserve">
</t>
    <phoneticPr fontId="1"/>
  </si>
  <si>
    <t>計画書作成日：</t>
    <rPh sb="0" eb="2">
      <t>ケイカク</t>
    </rPh>
    <rPh sb="2" eb="3">
      <t>ショ</t>
    </rPh>
    <rPh sb="3" eb="6">
      <t>サクセイビ</t>
    </rPh>
    <phoneticPr fontId="1"/>
  </si>
  <si>
    <t>計画書作成者：</t>
    <rPh sb="0" eb="2">
      <t>ケイカク</t>
    </rPh>
    <rPh sb="2" eb="3">
      <t>ショ</t>
    </rPh>
    <rPh sb="3" eb="6">
      <t>サクセイシャ</t>
    </rPh>
    <phoneticPr fontId="1"/>
  </si>
  <si>
    <t>評価結果作成日：</t>
    <rPh sb="0" eb="2">
      <t>ヒョウカ</t>
    </rPh>
    <rPh sb="2" eb="4">
      <t>ケッカ</t>
    </rPh>
    <rPh sb="4" eb="6">
      <t>サクセイ</t>
    </rPh>
    <rPh sb="6" eb="7">
      <t>ビ</t>
    </rPh>
    <phoneticPr fontId="1"/>
  </si>
  <si>
    <t>評価結果作成者：</t>
    <rPh sb="0" eb="2">
      <t>ヒョウカ</t>
    </rPh>
    <rPh sb="2" eb="4">
      <t>ケッカ</t>
    </rPh>
    <rPh sb="4" eb="6">
      <t>サクセイ</t>
    </rPh>
    <rPh sb="6" eb="7">
      <t>シャ</t>
    </rPh>
    <phoneticPr fontId="1"/>
  </si>
  <si>
    <r>
      <t xml:space="preserve">スパン校正：
</t>
    </r>
    <r>
      <rPr>
        <sz val="9"/>
        <rFont val="ＭＳ Ｐゴシック"/>
        <family val="3"/>
        <charset val="128"/>
      </rPr>
      <t>※器差調整後、基準器モード2の指示値と比較する</t>
    </r>
    <rPh sb="3" eb="5">
      <t>コウセイ</t>
    </rPh>
    <rPh sb="8" eb="9">
      <t>キ</t>
    </rPh>
    <rPh sb="9" eb="10">
      <t>サ</t>
    </rPh>
    <rPh sb="10" eb="12">
      <t>チョウセイ</t>
    </rPh>
    <rPh sb="12" eb="13">
      <t>ゴ</t>
    </rPh>
    <rPh sb="14" eb="16">
      <t>キジュン</t>
    </rPh>
    <rPh sb="16" eb="17">
      <t>キ</t>
    </rPh>
    <rPh sb="22" eb="24">
      <t>シジ</t>
    </rPh>
    <rPh sb="24" eb="25">
      <t>チ</t>
    </rPh>
    <rPh sb="26" eb="28">
      <t>ヒカク</t>
    </rPh>
    <phoneticPr fontId="1"/>
  </si>
  <si>
    <t>MLSS
直線性試験</t>
    <rPh sb="5" eb="8">
      <t>チョクセンセイ</t>
    </rPh>
    <rPh sb="8" eb="10">
      <t>シケン</t>
    </rPh>
    <phoneticPr fontId="1"/>
  </si>
  <si>
    <t>基準器
指示値
(mg/L)</t>
    <rPh sb="0" eb="2">
      <t>キジュン</t>
    </rPh>
    <rPh sb="2" eb="3">
      <t>キ</t>
    </rPh>
    <rPh sb="4" eb="6">
      <t>シジ</t>
    </rPh>
    <rPh sb="6" eb="7">
      <t>アタイ</t>
    </rPh>
    <phoneticPr fontId="1"/>
  </si>
  <si>
    <t>3.試験結果詳細</t>
    <rPh sb="2" eb="4">
      <t>シケン</t>
    </rPh>
    <rPh sb="4" eb="6">
      <t>ケッカ</t>
    </rPh>
    <rPh sb="6" eb="8">
      <t>ショウサイ</t>
    </rPh>
    <phoneticPr fontId="1"/>
  </si>
  <si>
    <t>2.結論</t>
    <rPh sb="2" eb="4">
      <t>ケツロン</t>
    </rPh>
    <phoneticPr fontId="1"/>
  </si>
  <si>
    <t>評価結果更新日：</t>
    <rPh sb="0" eb="2">
      <t>ヒョウカ</t>
    </rPh>
    <rPh sb="2" eb="4">
      <t>ケッカ</t>
    </rPh>
    <rPh sb="4" eb="6">
      <t>コウシン</t>
    </rPh>
    <rPh sb="6" eb="7">
      <t>ビ</t>
    </rPh>
    <phoneticPr fontId="1"/>
  </si>
  <si>
    <r>
      <t>3回の平均－最大値が</t>
    </r>
    <r>
      <rPr>
        <strike/>
        <sz val="11"/>
        <rFont val="ＭＳ Ｐゴシック"/>
        <family val="3"/>
        <charset val="128"/>
      </rPr>
      <t>±200mg/L</t>
    </r>
    <r>
      <rPr>
        <sz val="11"/>
        <rFont val="ＭＳ Ｐゴシック"/>
        <family val="3"/>
        <charset val="128"/>
      </rPr>
      <t xml:space="preserve">
</t>
    </r>
    <r>
      <rPr>
        <sz val="11"/>
        <color rgb="FF0000FF"/>
        <rFont val="ＭＳ Ｐゴシック"/>
        <family val="3"/>
        <charset val="128"/>
      </rPr>
      <t>±95mg/L
(指示値の±1%)</t>
    </r>
    <r>
      <rPr>
        <sz val="11"/>
        <rFont val="ＭＳ Ｐゴシック"/>
        <family val="3"/>
        <charset val="128"/>
      </rPr>
      <t>以内</t>
    </r>
    <rPh sb="1" eb="2">
      <t>カイ</t>
    </rPh>
    <rPh sb="3" eb="5">
      <t>ヘイキン</t>
    </rPh>
    <rPh sb="6" eb="9">
      <t>サイダイチ</t>
    </rPh>
    <rPh sb="28" eb="30">
      <t>シジ</t>
    </rPh>
    <rPh sb="30" eb="31">
      <t>チ</t>
    </rPh>
    <rPh sb="36" eb="38">
      <t>イナイ</t>
    </rPh>
    <phoneticPr fontId="1"/>
  </si>
  <si>
    <t>備考</t>
    <rPh sb="0" eb="2">
      <t>ビコウ</t>
    </rPh>
    <phoneticPr fontId="1"/>
  </si>
  <si>
    <t>3回目：
試作②の温度特性OK。
項目No.4に進む</t>
    <rPh sb="1" eb="3">
      <t>カイメ</t>
    </rPh>
    <rPh sb="5" eb="7">
      <t>シサク</t>
    </rPh>
    <rPh sb="9" eb="11">
      <t>オンド</t>
    </rPh>
    <rPh sb="11" eb="13">
      <t>トクセイ</t>
    </rPh>
    <rPh sb="24" eb="25">
      <t>スス</t>
    </rPh>
    <phoneticPr fontId="1"/>
  </si>
  <si>
    <t>1回目：
試作2台とも温度特性NG。
項目No.1を出力調整表に従って調整し、項目No.2以降を再確認する(※)</t>
    <rPh sb="1" eb="3">
      <t>カイメ</t>
    </rPh>
    <rPh sb="5" eb="7">
      <t>シサク</t>
    </rPh>
    <rPh sb="8" eb="9">
      <t>ダイ</t>
    </rPh>
    <rPh sb="11" eb="13">
      <t>オンド</t>
    </rPh>
    <rPh sb="13" eb="15">
      <t>トクセイ</t>
    </rPh>
    <rPh sb="35" eb="37">
      <t>チョウセイ</t>
    </rPh>
    <rPh sb="45" eb="47">
      <t>イコウ</t>
    </rPh>
    <rPh sb="48" eb="51">
      <t>サイカクニン</t>
    </rPh>
    <phoneticPr fontId="1"/>
  </si>
  <si>
    <t>+153.9</t>
    <phoneticPr fontId="1"/>
  </si>
  <si>
    <t>+42.4</t>
    <phoneticPr fontId="1"/>
  </si>
  <si>
    <t>+31.6</t>
    <phoneticPr fontId="1"/>
  </si>
  <si>
    <t>+6.0</t>
    <phoneticPr fontId="1"/>
  </si>
  <si>
    <t>-0.9</t>
    <phoneticPr fontId="1"/>
  </si>
  <si>
    <t>項目No.</t>
    <rPh sb="0" eb="2">
      <t>コウモク</t>
    </rPh>
    <phoneticPr fontId="1"/>
  </si>
  <si>
    <t>項目名</t>
    <rPh sb="0" eb="2">
      <t>コウモク</t>
    </rPh>
    <rPh sb="2" eb="3">
      <t>メイ</t>
    </rPh>
    <phoneticPr fontId="1"/>
  </si>
  <si>
    <t>現行</t>
    <rPh sb="0" eb="2">
      <t>ゲンコウ</t>
    </rPh>
    <phoneticPr fontId="1"/>
  </si>
  <si>
    <t>変更後</t>
    <rPh sb="0" eb="2">
      <t>ヘンコウ</t>
    </rPh>
    <rPh sb="2" eb="3">
      <t>ゴ</t>
    </rPh>
    <phoneticPr fontId="1"/>
  </si>
  <si>
    <t>MLSS用LED電圧調整</t>
    <rPh sb="4" eb="5">
      <t>ヨウ</t>
    </rPh>
    <rPh sb="8" eb="10">
      <t>デンアツ</t>
    </rPh>
    <rPh sb="10" eb="12">
      <t>チョウセイ</t>
    </rPh>
    <phoneticPr fontId="1"/>
  </si>
  <si>
    <t>MLSS用LED電流確認</t>
    <rPh sb="4" eb="5">
      <t>ヨウ</t>
    </rPh>
    <rPh sb="8" eb="10">
      <t>デンリュウ</t>
    </rPh>
    <rPh sb="10" eb="12">
      <t>カクニン</t>
    </rPh>
    <phoneticPr fontId="1"/>
  </si>
  <si>
    <t>0.90～1.90(mV AC)</t>
    <phoneticPr fontId="1"/>
  </si>
  <si>
    <t>615.5～616.5(mV AC)
※狙い値</t>
    <rPh sb="20" eb="21">
      <t>ネラ</t>
    </rPh>
    <rPh sb="22" eb="23">
      <t>チ</t>
    </rPh>
    <phoneticPr fontId="1"/>
  </si>
  <si>
    <t>623.5～624.5(mV AC)
※狙い値</t>
    <rPh sb="20" eb="21">
      <t>ネラ</t>
    </rPh>
    <rPh sb="22" eb="23">
      <t>チ</t>
    </rPh>
    <phoneticPr fontId="1"/>
  </si>
  <si>
    <t>消費電流確認(センサー単品)</t>
    <rPh sb="0" eb="2">
      <t>ショウヒ</t>
    </rPh>
    <rPh sb="2" eb="4">
      <t>デンリュウ</t>
    </rPh>
    <rPh sb="4" eb="6">
      <t>カクニン</t>
    </rPh>
    <rPh sb="11" eb="13">
      <t>タンピン</t>
    </rPh>
    <phoneticPr fontId="1"/>
  </si>
  <si>
    <t>2.15～5.15(mA)</t>
    <phoneticPr fontId="1"/>
  </si>
  <si>
    <t>消費電流確認(センサー単品)
(mA)</t>
    <rPh sb="0" eb="2">
      <t>ショウヒ</t>
    </rPh>
    <rPh sb="2" eb="4">
      <t>デンリュウ</t>
    </rPh>
    <rPh sb="4" eb="6">
      <t>カクニン</t>
    </rPh>
    <rPh sb="11" eb="13">
      <t>タンピン</t>
    </rPh>
    <phoneticPr fontId="1"/>
  </si>
  <si>
    <t>1.44～3.04(mV AC)</t>
    <phoneticPr fontId="1"/>
  </si>
  <si>
    <t>2.69～6.29(mA)</t>
    <phoneticPr fontId="1"/>
  </si>
  <si>
    <r>
      <rPr>
        <strike/>
        <sz val="11"/>
        <rFont val="ＭＳ Ｐゴシック"/>
        <family val="3"/>
        <charset val="128"/>
      </rPr>
      <t>0.9～1.9mV</t>
    </r>
    <r>
      <rPr>
        <sz val="11"/>
        <rFont val="ＭＳ Ｐゴシック"/>
        <family val="3"/>
        <charset val="128"/>
      </rPr>
      <t xml:space="preserve">
1.44～3.04mV AC</t>
    </r>
    <phoneticPr fontId="1"/>
  </si>
  <si>
    <r>
      <rPr>
        <strike/>
        <sz val="11"/>
        <rFont val="ＭＳ Ｐゴシック"/>
        <family val="3"/>
        <charset val="128"/>
      </rPr>
      <t>2.15～5.15mA</t>
    </r>
    <r>
      <rPr>
        <sz val="11"/>
        <rFont val="ＭＳ Ｐゴシック"/>
        <family val="3"/>
        <charset val="128"/>
      </rPr>
      <t xml:space="preserve">
2.69～6.29mA</t>
    </r>
    <phoneticPr fontId="1"/>
  </si>
  <si>
    <t>2回目：
試作②の温度特性NG、　試作③はOK。
試作②のみ、項目No.1を出力調整表に従って調整し、項目No.2以降を再確認する(※)</t>
    <rPh sb="1" eb="3">
      <t>カイメ</t>
    </rPh>
    <rPh sb="5" eb="7">
      <t>シサク</t>
    </rPh>
    <rPh sb="9" eb="11">
      <t>オンド</t>
    </rPh>
    <rPh sb="11" eb="13">
      <t>トクセイ</t>
    </rPh>
    <rPh sb="17" eb="19">
      <t>シサク</t>
    </rPh>
    <rPh sb="25" eb="27">
      <t>シサク</t>
    </rPh>
    <rPh sb="31" eb="33">
      <t>コウモク</t>
    </rPh>
    <rPh sb="47" eb="49">
      <t>チョウセイ</t>
    </rPh>
    <rPh sb="57" eb="59">
      <t>イコウ</t>
    </rPh>
    <rPh sb="60" eb="63">
      <t>サイカクニン</t>
    </rPh>
    <phoneticPr fontId="1"/>
  </si>
  <si>
    <r>
      <t xml:space="preserve">NG
</t>
    </r>
    <r>
      <rPr>
        <sz val="9"/>
        <rFont val="ＭＳ Ｐゴシック"/>
        <family val="3"/>
        <charset val="128"/>
      </rPr>
      <t>(再調整)</t>
    </r>
    <rPh sb="4" eb="7">
      <t>サイチョウセイ</t>
    </rPh>
    <phoneticPr fontId="1"/>
  </si>
  <si>
    <t>IM CPU変更 試作検証、妥当性評価試験結果</t>
    <rPh sb="6" eb="8">
      <t>ヘンコウ</t>
    </rPh>
    <rPh sb="9" eb="11">
      <t>シサク</t>
    </rPh>
    <rPh sb="11" eb="13">
      <t>ケンショウ</t>
    </rPh>
    <rPh sb="14" eb="17">
      <t>ダトウセイ</t>
    </rPh>
    <rPh sb="17" eb="19">
      <t>ヒョウカ</t>
    </rPh>
    <rPh sb="19" eb="21">
      <t>シケン</t>
    </rPh>
    <rPh sb="21" eb="23">
      <t>ケッカ</t>
    </rPh>
    <phoneticPr fontId="1"/>
  </si>
  <si>
    <t>36-15</t>
    <phoneticPr fontId="1"/>
  </si>
  <si>
    <t>本体設計部 柵木慎一郎</t>
    <rPh sb="0" eb="2">
      <t>ホンタイ</t>
    </rPh>
    <rPh sb="2" eb="5">
      <t>セッケイブ</t>
    </rPh>
    <rPh sb="6" eb="11">
      <t>マセギシンイチロウ</t>
    </rPh>
    <phoneticPr fontId="1"/>
  </si>
  <si>
    <t>動作確認
【入力】
別紙・IM-100Pプログラム仕様書からの評価結果
【目的】
現行IM-100Pと完全に同一の動作であること、バグ無きことを確認する</t>
    <rPh sb="10" eb="12">
      <t>ベッシ</t>
    </rPh>
    <rPh sb="25" eb="28">
      <t>シヨウショ</t>
    </rPh>
    <rPh sb="31" eb="33">
      <t>ヒョウカ</t>
    </rPh>
    <rPh sb="33" eb="35">
      <t>ケッカ</t>
    </rPh>
    <rPh sb="41" eb="43">
      <t>ゲンコウ</t>
    </rPh>
    <rPh sb="51" eb="53">
      <t>カンゼン</t>
    </rPh>
    <rPh sb="54" eb="56">
      <t>ドウイツ</t>
    </rPh>
    <rPh sb="57" eb="59">
      <t>ドウサ</t>
    </rPh>
    <rPh sb="67" eb="68">
      <t>ナ</t>
    </rPh>
    <rPh sb="72" eb="74">
      <t>カクニン</t>
    </rPh>
    <phoneticPr fontId="1"/>
  </si>
  <si>
    <t xml:space="preserve">動作確認
【入力】
IM-100P基板調整、動作確認チェックシート
(IM100PSS-0119)
No.A～L
【目的】
現行品同様、製品の組み付けチェックに合格することを確認する。 </t>
    <rPh sb="0" eb="2">
      <t>ドウサ</t>
    </rPh>
    <rPh sb="2" eb="4">
      <t>カクニン</t>
    </rPh>
    <rPh sb="6" eb="8">
      <t>ニュウリョク</t>
    </rPh>
    <rPh sb="17" eb="19">
      <t>キバン</t>
    </rPh>
    <rPh sb="19" eb="21">
      <t>チョウセイ</t>
    </rPh>
    <rPh sb="22" eb="24">
      <t>ドウサ</t>
    </rPh>
    <rPh sb="24" eb="26">
      <t>カクニン</t>
    </rPh>
    <rPh sb="58" eb="60">
      <t>モクテキ</t>
    </rPh>
    <rPh sb="62" eb="65">
      <t>ゲンコウヒン</t>
    </rPh>
    <rPh sb="65" eb="67">
      <t>ドウヨウ</t>
    </rPh>
    <rPh sb="68" eb="70">
      <t>セイヒン</t>
    </rPh>
    <rPh sb="71" eb="72">
      <t>ク</t>
    </rPh>
    <rPh sb="73" eb="74">
      <t>ツ</t>
    </rPh>
    <rPh sb="80" eb="82">
      <t>ゴウカク</t>
    </rPh>
    <rPh sb="87" eb="89">
      <t>カクニン</t>
    </rPh>
    <phoneticPr fontId="1"/>
  </si>
  <si>
    <t>IM-100P基板調整、動作確認チェックシート(IM100PSS-0119)の項目No.A～Lを行う
■サンプル
・IM-100P設計検証器：3台
■使用設備
IM-100P基板調整、動作確認チェックシート(IM100PSS-0119)を参照</t>
    <rPh sb="39" eb="41">
      <t>コウモク</t>
    </rPh>
    <rPh sb="48" eb="49">
      <t>オコナ</t>
    </rPh>
    <rPh sb="66" eb="68">
      <t>セッケイ</t>
    </rPh>
    <rPh sb="68" eb="70">
      <t>ケンショウ</t>
    </rPh>
    <rPh sb="70" eb="71">
      <t>キ</t>
    </rPh>
    <rPh sb="120" eb="122">
      <t>サンショウ</t>
    </rPh>
    <phoneticPr fontId="1"/>
  </si>
  <si>
    <t>IM-100P基板調整、動作確認チェックシート(IM100PSS-0119)の項目No.A～Lに合格すること</t>
    <rPh sb="48" eb="50">
      <t>ゴウカク</t>
    </rPh>
    <phoneticPr fontId="1"/>
  </si>
  <si>
    <r>
      <rPr>
        <b/>
        <sz val="11"/>
        <rFont val="ＭＳ Ｐゴシック"/>
        <family val="3"/>
        <charset val="128"/>
      </rPr>
      <t>試験対象機器</t>
    </r>
    <r>
      <rPr>
        <sz val="11"/>
        <rFont val="ＭＳ Ｐゴシック"/>
        <family val="3"/>
        <charset val="128"/>
      </rPr>
      <t xml:space="preserve">
IM-100P設計検証器(試作基板組み付け品)　3台
IM-100Pプログラム評価用試作器 1台
※IM-50P,80Pは上記設計検証器のプログラムを上書きし、プログラム評価結果DRで別途動作確認する。
</t>
    </r>
    <rPh sb="0" eb="2">
      <t>シケン</t>
    </rPh>
    <rPh sb="2" eb="4">
      <t>タイショウ</t>
    </rPh>
    <rPh sb="4" eb="6">
      <t>キキ</t>
    </rPh>
    <rPh sb="14" eb="16">
      <t>セッケイ</t>
    </rPh>
    <rPh sb="16" eb="18">
      <t>ケンショウ</t>
    </rPh>
    <rPh sb="18" eb="19">
      <t>キ</t>
    </rPh>
    <rPh sb="20" eb="22">
      <t>シサク</t>
    </rPh>
    <rPh sb="22" eb="24">
      <t>キバン</t>
    </rPh>
    <rPh sb="24" eb="25">
      <t>ク</t>
    </rPh>
    <rPh sb="26" eb="27">
      <t>ツ</t>
    </rPh>
    <rPh sb="28" eb="29">
      <t>ヒン</t>
    </rPh>
    <rPh sb="32" eb="33">
      <t>ダイ</t>
    </rPh>
    <rPh sb="46" eb="48">
      <t>ヒョウカ</t>
    </rPh>
    <rPh sb="48" eb="49">
      <t>ヨウ</t>
    </rPh>
    <rPh sb="49" eb="52">
      <t>シサクキ</t>
    </rPh>
    <rPh sb="54" eb="55">
      <t>ダイ</t>
    </rPh>
    <rPh sb="68" eb="70">
      <t>ジョウキ</t>
    </rPh>
    <rPh sb="70" eb="72">
      <t>セッケイ</t>
    </rPh>
    <rPh sb="72" eb="75">
      <t>ケンショウキ</t>
    </rPh>
    <rPh sb="82" eb="84">
      <t>ウワガ</t>
    </rPh>
    <rPh sb="92" eb="94">
      <t>ヒョウカ</t>
    </rPh>
    <rPh sb="94" eb="96">
      <t>ケッカ</t>
    </rPh>
    <rPh sb="99" eb="101">
      <t>ベット</t>
    </rPh>
    <rPh sb="101" eb="103">
      <t>ドウサ</t>
    </rPh>
    <rPh sb="103" eb="105">
      <t>カクニン</t>
    </rPh>
    <phoneticPr fontId="1"/>
  </si>
  <si>
    <t>別紙・IM-100Pプログラム仕様書からの評価結果に従い、プログラムの全機能、計算式が現行プログラムと同一であることを評価する
■サンプル
・IM-100Pプログラム評価用試作器 1台
■使用設備
別紙・IM-100Pプログラム仕様書からの評価結果を参照</t>
    <rPh sb="26" eb="27">
      <t>シタガ</t>
    </rPh>
    <rPh sb="35" eb="38">
      <t>ゼンキノウ</t>
    </rPh>
    <rPh sb="39" eb="42">
      <t>ケイサンシキ</t>
    </rPh>
    <rPh sb="43" eb="45">
      <t>ゲンコウ</t>
    </rPh>
    <rPh sb="51" eb="53">
      <t>ドウイツ</t>
    </rPh>
    <rPh sb="59" eb="61">
      <t>ヒョウカ</t>
    </rPh>
    <phoneticPr fontId="1"/>
  </si>
  <si>
    <t>別紙・IM-100Pプログラム仕様書からの評価結果の全項目に合格、または処置決定すること</t>
    <rPh sb="26" eb="29">
      <t>ゼンコウモク</t>
    </rPh>
    <rPh sb="30" eb="32">
      <t>ゴウカク</t>
    </rPh>
    <rPh sb="36" eb="38">
      <t>ショチ</t>
    </rPh>
    <rPh sb="38" eb="40">
      <t>ケッテイ</t>
    </rPh>
    <phoneticPr fontId="1"/>
  </si>
  <si>
    <t>IMシリーズ 入庫前検査チェックシートV13(検査-3208-13)の全項目を行う
■サンプル
・IM-100P設計検証器：3台
■使用設備
IMシリーズ 入庫前検査チェックシートV13(検査-3208-13)、およびIM-50P,80P,100P検査作業基準を参照</t>
    <rPh sb="35" eb="38">
      <t>ゼンコウモク</t>
    </rPh>
    <rPh sb="39" eb="40">
      <t>オコナ</t>
    </rPh>
    <rPh sb="125" eb="127">
      <t>ケンサ</t>
    </rPh>
    <rPh sb="127" eb="129">
      <t>サギョウ</t>
    </rPh>
    <rPh sb="129" eb="131">
      <t>キジュン</t>
    </rPh>
    <rPh sb="132" eb="134">
      <t>サンショウ</t>
    </rPh>
    <phoneticPr fontId="1"/>
  </si>
  <si>
    <t>IMシリーズ 入庫前検査チェックシートV13(検査-3208-13)の全項目が合格すること</t>
    <rPh sb="39" eb="41">
      <t>ゴウカク</t>
    </rPh>
    <phoneticPr fontId="1"/>
  </si>
  <si>
    <t xml:space="preserve">出荷検査1、全品検査
【入力】
IMシリーズ 入庫前検査チェックシートV13
(検査-3208-13)
【目的】
現行品同様、すべての出荷検査に合格することを確認する。 </t>
    <rPh sb="0" eb="2">
      <t>シュッカ</t>
    </rPh>
    <rPh sb="2" eb="4">
      <t>ケンサ</t>
    </rPh>
    <rPh sb="6" eb="8">
      <t>ゼンピン</t>
    </rPh>
    <rPh sb="8" eb="10">
      <t>ケンサ</t>
    </rPh>
    <rPh sb="12" eb="14">
      <t>ニュウリョク</t>
    </rPh>
    <rPh sb="53" eb="55">
      <t>モクテキ</t>
    </rPh>
    <rPh sb="57" eb="60">
      <t>ゲンコウヒン</t>
    </rPh>
    <rPh sb="60" eb="62">
      <t>ドウヨウ</t>
    </rPh>
    <rPh sb="67" eb="69">
      <t>シュッカ</t>
    </rPh>
    <rPh sb="69" eb="71">
      <t>ケンサ</t>
    </rPh>
    <rPh sb="72" eb="74">
      <t>ゴウカク</t>
    </rPh>
    <rPh sb="79" eb="81">
      <t>カクニン</t>
    </rPh>
    <phoneticPr fontId="1"/>
  </si>
  <si>
    <t xml:space="preserve">出荷検査2、抜き取り検査
【入力】
抜き取り検査チェックシート 検査－3308-11 (IMシリーズ)
【目的】
現行品同様、すべての抜取検査に合格することを確認する。 </t>
    <rPh sb="0" eb="2">
      <t>シュッカ</t>
    </rPh>
    <rPh sb="2" eb="4">
      <t>ケンサ</t>
    </rPh>
    <rPh sb="6" eb="7">
      <t>ヌ</t>
    </rPh>
    <rPh sb="8" eb="9">
      <t>ト</t>
    </rPh>
    <rPh sb="10" eb="12">
      <t>ケンサ</t>
    </rPh>
    <rPh sb="14" eb="16">
      <t>ニュウリョク</t>
    </rPh>
    <rPh sb="53" eb="55">
      <t>モクテキ</t>
    </rPh>
    <rPh sb="57" eb="60">
      <t>ゲンコウヒン</t>
    </rPh>
    <rPh sb="60" eb="62">
      <t>ドウヨウ</t>
    </rPh>
    <rPh sb="67" eb="69">
      <t>ヌキトリ</t>
    </rPh>
    <rPh sb="69" eb="71">
      <t>ケンサ</t>
    </rPh>
    <rPh sb="72" eb="74">
      <t>ゴウカク</t>
    </rPh>
    <rPh sb="79" eb="81">
      <t>カクニン</t>
    </rPh>
    <phoneticPr fontId="1"/>
  </si>
  <si>
    <t>抜き取り検査チェックシート 検査－3308-11 (IMシリーズ)の全項目を行う
■サンプル
・IM-100P設計検証器：3台
■使用設備
・IM-100P設計検証器：3台、およびIM-50P,80P,100P検査作業基準を参照</t>
    <rPh sb="34" eb="37">
      <t>ゼンコウモク</t>
    </rPh>
    <rPh sb="38" eb="39">
      <t>オコナ</t>
    </rPh>
    <rPh sb="113" eb="115">
      <t>サンショウ</t>
    </rPh>
    <phoneticPr fontId="1"/>
  </si>
  <si>
    <t>抜き取り検査チェックシート 検査－3308-11 (IMシリーズ)の全項目が合格すること</t>
    <phoneticPr fontId="1"/>
  </si>
  <si>
    <t xml:space="preserve">妥当性評価・静電気の影響確認
【入力】
過去のIMプローブ評価結果
【目的】
プローブ側で行った静電気対策が機能していることを確認する。 </t>
    <rPh sb="0" eb="3">
      <t>ダトウセイ</t>
    </rPh>
    <rPh sb="3" eb="5">
      <t>ヒョウカ</t>
    </rPh>
    <rPh sb="6" eb="9">
      <t>セイデンキ</t>
    </rPh>
    <rPh sb="10" eb="12">
      <t>エイキョウ</t>
    </rPh>
    <rPh sb="12" eb="14">
      <t>カクニン</t>
    </rPh>
    <rPh sb="16" eb="18">
      <t>ニュウリョク</t>
    </rPh>
    <rPh sb="20" eb="22">
      <t>カコ</t>
    </rPh>
    <rPh sb="29" eb="31">
      <t>ヒョウカ</t>
    </rPh>
    <rPh sb="31" eb="33">
      <t>ケッカ</t>
    </rPh>
    <rPh sb="35" eb="37">
      <t>モクテキ</t>
    </rPh>
    <rPh sb="43" eb="44">
      <t>ガワ</t>
    </rPh>
    <rPh sb="45" eb="46">
      <t>オコナ</t>
    </rPh>
    <rPh sb="48" eb="51">
      <t>セイデンキ</t>
    </rPh>
    <rPh sb="51" eb="53">
      <t>タイサク</t>
    </rPh>
    <rPh sb="54" eb="56">
      <t>キノウ</t>
    </rPh>
    <rPh sb="63" eb="65">
      <t>カクニン</t>
    </rPh>
    <phoneticPr fontId="1"/>
  </si>
  <si>
    <t>ポリバケツに水を張りプローブを入れ、バケツに静電気を起こして測定し、指示値や動作を確認する。
■サンプル
・IM-100P設計検証器：1台
■使用設備
過去の評価レポートを参照</t>
    <rPh sb="6" eb="7">
      <t>ミズ</t>
    </rPh>
    <rPh sb="8" eb="9">
      <t>ハ</t>
    </rPh>
    <rPh sb="15" eb="16">
      <t>イ</t>
    </rPh>
    <rPh sb="22" eb="25">
      <t>セイデンキ</t>
    </rPh>
    <rPh sb="26" eb="27">
      <t>オ</t>
    </rPh>
    <rPh sb="30" eb="32">
      <t>ソクテイ</t>
    </rPh>
    <rPh sb="34" eb="36">
      <t>シジ</t>
    </rPh>
    <rPh sb="36" eb="37">
      <t>チ</t>
    </rPh>
    <rPh sb="38" eb="40">
      <t>ドウサ</t>
    </rPh>
    <rPh sb="41" eb="43">
      <t>カクニン</t>
    </rPh>
    <rPh sb="77" eb="79">
      <t>カコ</t>
    </rPh>
    <rPh sb="80" eb="82">
      <t>ヒョウカ</t>
    </rPh>
    <rPh sb="87" eb="89">
      <t>サンショウ</t>
    </rPh>
    <phoneticPr fontId="1"/>
  </si>
  <si>
    <t>指示値の変動なきこと
フリーズ無きこと</t>
    <rPh sb="0" eb="2">
      <t>シジ</t>
    </rPh>
    <rPh sb="2" eb="3">
      <t>チ</t>
    </rPh>
    <rPh sb="4" eb="6">
      <t>ヘンドウ</t>
    </rPh>
    <rPh sb="15" eb="16">
      <t>ナ</t>
    </rPh>
    <phoneticPr fontId="1"/>
  </si>
  <si>
    <t>OK</t>
    <phoneticPr fontId="1"/>
  </si>
  <si>
    <r>
      <t xml:space="preserve">別紙・プログラム仕様書からの評価結果の全項目を評価し、9/30時点で社内調整モード判定、測定／校正SWの左右が逆という2つのバグ修正した。その他A/DC初期化カウントダウン以外はすべて現行IM-100Pと同じ動作になる事を確認、OKとした。
</t>
    </r>
    <r>
      <rPr>
        <b/>
        <u/>
        <sz val="11"/>
        <color rgb="FFFF0000"/>
        <rFont val="ＭＳ Ｐゴシック"/>
        <family val="3"/>
        <charset val="128"/>
      </rPr>
      <t>プログラムVer.は最終的に3.00で全機種統一することにしプログラム修正した。2024/10/29 柵木</t>
    </r>
    <rPh sb="0" eb="2">
      <t>ベッシ</t>
    </rPh>
    <rPh sb="8" eb="11">
      <t>シヨウショ</t>
    </rPh>
    <rPh sb="14" eb="16">
      <t>ヒョウカ</t>
    </rPh>
    <rPh sb="16" eb="18">
      <t>ケッカ</t>
    </rPh>
    <rPh sb="19" eb="22">
      <t>ゼンコウモク</t>
    </rPh>
    <rPh sb="23" eb="25">
      <t>ヒョウカ</t>
    </rPh>
    <rPh sb="31" eb="33">
      <t>ジテン</t>
    </rPh>
    <rPh sb="34" eb="36">
      <t>シャナイ</t>
    </rPh>
    <rPh sb="36" eb="38">
      <t>チョウセイ</t>
    </rPh>
    <rPh sb="41" eb="43">
      <t>ハンテイ</t>
    </rPh>
    <rPh sb="44" eb="46">
      <t>ソクテイ</t>
    </rPh>
    <rPh sb="47" eb="49">
      <t>コウセイ</t>
    </rPh>
    <rPh sb="52" eb="54">
      <t>サユウ</t>
    </rPh>
    <rPh sb="55" eb="56">
      <t>ギャク</t>
    </rPh>
    <rPh sb="64" eb="66">
      <t>シュウセイ</t>
    </rPh>
    <rPh sb="71" eb="72">
      <t>タ</t>
    </rPh>
    <rPh sb="76" eb="79">
      <t>ショキカ</t>
    </rPh>
    <rPh sb="86" eb="88">
      <t>イガイ</t>
    </rPh>
    <rPh sb="92" eb="94">
      <t>ゲンコウ</t>
    </rPh>
    <rPh sb="102" eb="103">
      <t>オナ</t>
    </rPh>
    <rPh sb="104" eb="106">
      <t>ドウサ</t>
    </rPh>
    <rPh sb="109" eb="110">
      <t>コト</t>
    </rPh>
    <rPh sb="111" eb="113">
      <t>カクニン</t>
    </rPh>
    <rPh sb="131" eb="134">
      <t>サイシュウテキ</t>
    </rPh>
    <rPh sb="140" eb="143">
      <t>ゼンキシュ</t>
    </rPh>
    <rPh sb="143" eb="145">
      <t>トウイツ</t>
    </rPh>
    <rPh sb="156" eb="158">
      <t>シュウセイ</t>
    </rPh>
    <rPh sb="172" eb="174">
      <t>マセギ</t>
    </rPh>
    <phoneticPr fontId="1"/>
  </si>
  <si>
    <t>別紙チェックシートの通り、3台とも全項目合格しOKとした。詳細は「IM-100P計器組み付けチェック結果.pdf」を参照。</t>
    <rPh sb="0" eb="2">
      <t>ベッシ</t>
    </rPh>
    <rPh sb="10" eb="11">
      <t>トオ</t>
    </rPh>
    <rPh sb="14" eb="15">
      <t>ダイ</t>
    </rPh>
    <rPh sb="17" eb="20">
      <t>ゼンコウモク</t>
    </rPh>
    <rPh sb="20" eb="22">
      <t>ゴウカク</t>
    </rPh>
    <rPh sb="29" eb="31">
      <t>ショウサイ</t>
    </rPh>
    <rPh sb="58" eb="60">
      <t>サンショウ</t>
    </rPh>
    <phoneticPr fontId="1"/>
  </si>
  <si>
    <t>別紙の通り、3台とも全項目合格しOKとした。詳細は「IM-100P_CPU基板変更入庫前241017.pdf」を参照。
別件でプログラムVer.について旧プローブ修理用と現行で異なる打ち上げがあり、関係者とすり合わせ新基板はすべてVer.3.00で統一することとした。</t>
    <rPh sb="0" eb="2">
      <t>ベッシ</t>
    </rPh>
    <rPh sb="3" eb="4">
      <t>トオ</t>
    </rPh>
    <rPh sb="7" eb="8">
      <t>ダイ</t>
    </rPh>
    <rPh sb="10" eb="13">
      <t>ゼンコウモク</t>
    </rPh>
    <rPh sb="13" eb="15">
      <t>ゴウカク</t>
    </rPh>
    <rPh sb="22" eb="24">
      <t>ショウサイ</t>
    </rPh>
    <rPh sb="56" eb="58">
      <t>サンショウ</t>
    </rPh>
    <phoneticPr fontId="1"/>
  </si>
  <si>
    <t>OK</t>
    <phoneticPr fontId="1"/>
  </si>
  <si>
    <t>別紙の通り、3台とも全項目合格しOKとした。詳細は「IM-100P_CPU基板変更入庫前抜き取り_241021.pdf」を参照。</t>
    <phoneticPr fontId="1"/>
  </si>
  <si>
    <t>バケツへの静電気は①プラスチック板を摩擦して近づける、②静電気試験器接触・4kV・0.05s・10回x3セットを実施し、いずれも表示値1x10mg/L、0.11mから変動、フリーズなくOKと判断した。</t>
    <rPh sb="5" eb="8">
      <t>セイデンキ</t>
    </rPh>
    <rPh sb="16" eb="17">
      <t>イタ</t>
    </rPh>
    <rPh sb="18" eb="20">
      <t>マサツ</t>
    </rPh>
    <rPh sb="22" eb="23">
      <t>チカ</t>
    </rPh>
    <rPh sb="28" eb="31">
      <t>セイデンキ</t>
    </rPh>
    <rPh sb="31" eb="34">
      <t>シケンキ</t>
    </rPh>
    <rPh sb="34" eb="36">
      <t>セッショク</t>
    </rPh>
    <rPh sb="49" eb="50">
      <t>カイ</t>
    </rPh>
    <rPh sb="56" eb="58">
      <t>ジッシ</t>
    </rPh>
    <rPh sb="64" eb="66">
      <t>ヒョウジ</t>
    </rPh>
    <rPh sb="66" eb="67">
      <t>チ</t>
    </rPh>
    <rPh sb="83" eb="85">
      <t>ヘンドウ</t>
    </rPh>
    <rPh sb="95" eb="97">
      <t>ハンダン</t>
    </rPh>
    <phoneticPr fontId="1"/>
  </si>
  <si>
    <t>プログラム評価と合わせてすべての動作確認、検査結果に合格し動作不良やバグは発見されなかったため、このまま初回生産前生産実施可能と判断した。</t>
    <rPh sb="5" eb="7">
      <t>ヒョウカ</t>
    </rPh>
    <rPh sb="8" eb="9">
      <t>ア</t>
    </rPh>
    <rPh sb="16" eb="18">
      <t>ドウサ</t>
    </rPh>
    <rPh sb="18" eb="20">
      <t>カクニン</t>
    </rPh>
    <rPh sb="21" eb="23">
      <t>ケンサ</t>
    </rPh>
    <rPh sb="23" eb="25">
      <t>ケッカ</t>
    </rPh>
    <rPh sb="26" eb="28">
      <t>ゴウカク</t>
    </rPh>
    <rPh sb="29" eb="31">
      <t>ドウサ</t>
    </rPh>
    <rPh sb="31" eb="33">
      <t>フリョウ</t>
    </rPh>
    <rPh sb="37" eb="39">
      <t>ハッケン</t>
    </rPh>
    <rPh sb="52" eb="54">
      <t>ショカイ</t>
    </rPh>
    <rPh sb="54" eb="57">
      <t>セイサンマエ</t>
    </rPh>
    <rPh sb="57" eb="59">
      <t>セイサン</t>
    </rPh>
    <rPh sb="59" eb="61">
      <t>ジッシ</t>
    </rPh>
    <rPh sb="61" eb="63">
      <t>カノウ</t>
    </rPh>
    <rPh sb="64" eb="66">
      <t>ハンダン</t>
    </rPh>
    <phoneticPr fontId="1"/>
  </si>
  <si>
    <t>IM CPU変更設計検証計画表、および各評価用紙・チェックシートにしたがってIM-100P設計検証器を評価し、初回生産前生産を実施可能か判断する。</t>
    <rPh sb="6" eb="8">
      <t>ヘンコウ</t>
    </rPh>
    <rPh sb="8" eb="10">
      <t>セッケイ</t>
    </rPh>
    <rPh sb="10" eb="12">
      <t>ケンショウ</t>
    </rPh>
    <rPh sb="12" eb="14">
      <t>ケイカク</t>
    </rPh>
    <rPh sb="14" eb="15">
      <t>オモテ</t>
    </rPh>
    <rPh sb="19" eb="20">
      <t>カク</t>
    </rPh>
    <rPh sb="20" eb="22">
      <t>ヒョウカ</t>
    </rPh>
    <rPh sb="22" eb="24">
      <t>ヨウシ</t>
    </rPh>
    <rPh sb="45" eb="47">
      <t>セッケイ</t>
    </rPh>
    <rPh sb="47" eb="50">
      <t>ケンショウキ</t>
    </rPh>
    <rPh sb="51" eb="53">
      <t>ヒョウカ</t>
    </rPh>
    <rPh sb="55" eb="57">
      <t>ショカイ</t>
    </rPh>
    <rPh sb="57" eb="60">
      <t>セイサンマエ</t>
    </rPh>
    <rPh sb="60" eb="62">
      <t>セイサン</t>
    </rPh>
    <rPh sb="63" eb="65">
      <t>ジッシ</t>
    </rPh>
    <rPh sb="65" eb="67">
      <t>カノウ</t>
    </rPh>
    <rPh sb="68" eb="70">
      <t>ハンダン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</si>
</sst>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_ "/>
    <numFmt numFmtId="178" formatCode="0_ "/>
  </numFmts>
  <fonts count="17" x14ac:knownFonts="1"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20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SimSun"/>
    </font>
    <font>
      <sz val="9"/>
      <name val="ＭＳ Ｐゴシック"/>
      <family val="3"/>
      <charset val="128"/>
    </font>
    <font>
      <sz val="11"/>
      <color rgb="FF0000FF"/>
      <name val="ＭＳ Ｐゴシック"/>
      <family val="3"/>
      <charset val="128"/>
    </font>
    <font>
      <strike/>
      <sz val="11"/>
      <name val="ＭＳ Ｐゴシック"/>
      <family val="3"/>
      <charset val="128"/>
    </font>
    <font>
      <sz val="9"/>
      <color rgb="FF0000FF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b/>
      <u/>
      <sz val="11"/>
      <color rgb="FFFF000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 diagonalUp="1">
      <left style="medium">
        <color indexed="64"/>
      </left>
      <right style="double">
        <color indexed="64"/>
      </right>
      <top style="thin">
        <color indexed="64"/>
      </top>
      <bottom/>
      <diagonal style="thin">
        <color indexed="64"/>
      </diagonal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 diagonalUp="1"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double">
        <color indexed="64"/>
      </left>
      <right style="dashed">
        <color indexed="64"/>
      </right>
      <top/>
      <bottom/>
      <diagonal/>
    </border>
    <border diagonalUp="1">
      <left style="dashed">
        <color indexed="64"/>
      </left>
      <right style="double">
        <color indexed="64"/>
      </right>
      <top/>
      <bottom/>
      <diagonal style="thin">
        <color indexed="64"/>
      </diagonal>
    </border>
    <border>
      <left/>
      <right style="dashed">
        <color indexed="64"/>
      </right>
      <top/>
      <bottom/>
      <diagonal/>
    </border>
    <border diagonalUp="1">
      <left style="dashed">
        <color indexed="64"/>
      </left>
      <right style="thin">
        <color indexed="64"/>
      </right>
      <top/>
      <bottom/>
      <diagonal style="thin">
        <color indexed="64"/>
      </diagonal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 diagonalUp="1">
      <left style="thin">
        <color indexed="64"/>
      </left>
      <right/>
      <top style="medium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 diagonalUp="1">
      <left style="dash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 style="dashed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/>
      <bottom/>
      <diagonal style="thin">
        <color indexed="64"/>
      </diagonal>
    </border>
    <border diagonalUp="1">
      <left/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medium">
        <color indexed="64"/>
      </bottom>
      <diagonal style="thin">
        <color indexed="64"/>
      </diagonal>
    </border>
  </borders>
  <cellStyleXfs count="5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/>
    <xf numFmtId="0" fontId="8" fillId="0" borderId="0">
      <alignment vertical="center"/>
    </xf>
  </cellStyleXfs>
  <cellXfs count="278">
    <xf numFmtId="0" fontId="0" fillId="0" borderId="0" xfId="0">
      <alignment vertical="center"/>
    </xf>
    <xf numFmtId="0" fontId="2" fillId="0" borderId="0" xfId="2">
      <alignment vertical="center"/>
    </xf>
    <xf numFmtId="0" fontId="4" fillId="0" borderId="0" xfId="2" applyFont="1">
      <alignment vertical="center"/>
    </xf>
    <xf numFmtId="0" fontId="3" fillId="0" borderId="0" xfId="2" applyFont="1">
      <alignment vertical="center"/>
    </xf>
    <xf numFmtId="9" fontId="2" fillId="0" borderId="0" xfId="2" applyNumberFormat="1">
      <alignment vertical="center"/>
    </xf>
    <xf numFmtId="0" fontId="2" fillId="0" borderId="0" xfId="4" applyFont="1">
      <alignment vertical="center"/>
    </xf>
    <xf numFmtId="0" fontId="2" fillId="0" borderId="5" xfId="4" applyFont="1" applyBorder="1" applyAlignment="1">
      <alignment horizontal="center" vertical="center"/>
    </xf>
    <xf numFmtId="0" fontId="2" fillId="0" borderId="6" xfId="4" applyFont="1" applyBorder="1" applyAlignment="1">
      <alignment horizontal="center" vertical="center" wrapText="1"/>
    </xf>
    <xf numFmtId="0" fontId="2" fillId="0" borderId="6" xfId="4" applyFont="1" applyBorder="1" applyAlignment="1">
      <alignment horizontal="center" vertical="center"/>
    </xf>
    <xf numFmtId="0" fontId="2" fillId="0" borderId="26" xfId="4" applyFont="1" applyBorder="1" applyAlignment="1">
      <alignment horizontal="center" vertical="center"/>
    </xf>
    <xf numFmtId="177" fontId="2" fillId="0" borderId="0" xfId="4" applyNumberFormat="1" applyFont="1">
      <alignment vertical="center"/>
    </xf>
    <xf numFmtId="0" fontId="2" fillId="0" borderId="27" xfId="4" applyFont="1" applyBorder="1" applyAlignment="1">
      <alignment horizontal="center" vertical="center"/>
    </xf>
    <xf numFmtId="0" fontId="2" fillId="0" borderId="5" xfId="4" applyFont="1" applyBorder="1" applyAlignment="1">
      <alignment horizontal="center" vertical="center" wrapText="1"/>
    </xf>
    <xf numFmtId="177" fontId="2" fillId="0" borderId="29" xfId="4" applyNumberFormat="1" applyFont="1" applyBorder="1" applyAlignment="1">
      <alignment horizontal="center" vertical="center"/>
    </xf>
    <xf numFmtId="177" fontId="2" fillId="0" borderId="30" xfId="4" applyNumberFormat="1" applyFont="1" applyBorder="1" applyAlignment="1">
      <alignment horizontal="center" vertical="center"/>
    </xf>
    <xf numFmtId="176" fontId="2" fillId="0" borderId="29" xfId="4" applyNumberFormat="1" applyFont="1" applyBorder="1" applyAlignment="1">
      <alignment horizontal="center" vertical="center"/>
    </xf>
    <xf numFmtId="176" fontId="2" fillId="0" borderId="30" xfId="4" applyNumberFormat="1" applyFont="1" applyBorder="1" applyAlignment="1">
      <alignment horizontal="center" vertical="center"/>
    </xf>
    <xf numFmtId="177" fontId="2" fillId="0" borderId="31" xfId="4" applyNumberFormat="1" applyFont="1" applyBorder="1" applyAlignment="1">
      <alignment horizontal="center" vertical="center"/>
    </xf>
    <xf numFmtId="177" fontId="2" fillId="0" borderId="32" xfId="4" applyNumberFormat="1" applyFont="1" applyBorder="1" applyAlignment="1">
      <alignment horizontal="center" vertical="center"/>
    </xf>
    <xf numFmtId="176" fontId="2" fillId="0" borderId="32" xfId="4" applyNumberFormat="1" applyFont="1" applyBorder="1" applyAlignment="1">
      <alignment horizontal="center" vertical="center"/>
    </xf>
    <xf numFmtId="176" fontId="2" fillId="0" borderId="31" xfId="4" applyNumberFormat="1" applyFont="1" applyBorder="1" applyAlignment="1">
      <alignment horizontal="center" vertical="center"/>
    </xf>
    <xf numFmtId="177" fontId="2" fillId="0" borderId="33" xfId="4" applyNumberFormat="1" applyFont="1" applyBorder="1" applyAlignment="1">
      <alignment horizontal="center" vertical="center"/>
    </xf>
    <xf numFmtId="0" fontId="2" fillId="6" borderId="29" xfId="4" applyFont="1" applyFill="1" applyBorder="1" applyAlignment="1">
      <alignment horizontal="center" vertical="center"/>
    </xf>
    <xf numFmtId="0" fontId="2" fillId="6" borderId="30" xfId="4" applyFont="1" applyFill="1" applyBorder="1" applyAlignment="1">
      <alignment horizontal="center" vertical="center"/>
    </xf>
    <xf numFmtId="0" fontId="2" fillId="6" borderId="32" xfId="4" applyFont="1" applyFill="1" applyBorder="1" applyAlignment="1">
      <alignment horizontal="center" vertical="center"/>
    </xf>
    <xf numFmtId="0" fontId="2" fillId="6" borderId="31" xfId="4" applyFont="1" applyFill="1" applyBorder="1" applyAlignment="1">
      <alignment horizontal="center" vertical="center"/>
    </xf>
    <xf numFmtId="178" fontId="2" fillId="0" borderId="29" xfId="4" applyNumberFormat="1" applyFont="1" applyBorder="1" applyAlignment="1">
      <alignment horizontal="center" vertical="center"/>
    </xf>
    <xf numFmtId="178" fontId="2" fillId="0" borderId="30" xfId="4" applyNumberFormat="1" applyFont="1" applyBorder="1" applyAlignment="1">
      <alignment horizontal="center" vertical="center"/>
    </xf>
    <xf numFmtId="178" fontId="2" fillId="0" borderId="31" xfId="4" applyNumberFormat="1" applyFont="1" applyBorder="1" applyAlignment="1">
      <alignment horizontal="center" vertical="center"/>
    </xf>
    <xf numFmtId="0" fontId="2" fillId="0" borderId="5" xfId="4" applyFont="1" applyBorder="1" applyAlignment="1">
      <alignment horizontal="left" vertical="center" wrapText="1"/>
    </xf>
    <xf numFmtId="178" fontId="2" fillId="0" borderId="7" xfId="4" applyNumberFormat="1" applyFont="1" applyBorder="1" applyAlignment="1">
      <alignment horizontal="center" vertical="center"/>
    </xf>
    <xf numFmtId="0" fontId="2" fillId="6" borderId="7" xfId="4" applyFont="1" applyFill="1" applyBorder="1" applyAlignment="1">
      <alignment horizontal="center" vertical="center" wrapText="1"/>
    </xf>
    <xf numFmtId="0" fontId="2" fillId="6" borderId="29" xfId="4" applyFont="1" applyFill="1" applyBorder="1" applyAlignment="1">
      <alignment horizontal="center" vertical="center" wrapText="1"/>
    </xf>
    <xf numFmtId="178" fontId="2" fillId="0" borderId="34" xfId="4" applyNumberFormat="1" applyFont="1" applyBorder="1" applyAlignment="1">
      <alignment horizontal="center" vertical="center" wrapText="1"/>
    </xf>
    <xf numFmtId="178" fontId="2" fillId="0" borderId="34" xfId="4" applyNumberFormat="1" applyFont="1" applyBorder="1" applyAlignment="1">
      <alignment horizontal="center" vertical="center"/>
    </xf>
    <xf numFmtId="0" fontId="2" fillId="6" borderId="11" xfId="4" applyFont="1" applyFill="1" applyBorder="1" applyAlignment="1">
      <alignment horizontal="center" vertical="center" wrapText="1"/>
    </xf>
    <xf numFmtId="0" fontId="2" fillId="6" borderId="10" xfId="4" applyFont="1" applyFill="1" applyBorder="1" applyAlignment="1">
      <alignment horizontal="center" vertical="center" wrapText="1"/>
    </xf>
    <xf numFmtId="0" fontId="2" fillId="0" borderId="1" xfId="4" applyFont="1" applyBorder="1" applyAlignment="1">
      <alignment horizontal="center" vertical="center"/>
    </xf>
    <xf numFmtId="178" fontId="2" fillId="0" borderId="4" xfId="4" applyNumberFormat="1" applyFont="1" applyBorder="1" applyAlignment="1">
      <alignment horizontal="center" vertical="center"/>
    </xf>
    <xf numFmtId="178" fontId="2" fillId="0" borderId="5" xfId="4" applyNumberFormat="1" applyFont="1" applyBorder="1" applyAlignment="1">
      <alignment horizontal="center" vertical="center"/>
    </xf>
    <xf numFmtId="178" fontId="2" fillId="6" borderId="5" xfId="4" applyNumberFormat="1" applyFont="1" applyFill="1" applyBorder="1" applyAlignment="1">
      <alignment horizontal="center" vertical="center"/>
    </xf>
    <xf numFmtId="178" fontId="2" fillId="6" borderId="30" xfId="4" applyNumberFormat="1" applyFont="1" applyFill="1" applyBorder="1" applyAlignment="1">
      <alignment horizontal="center" vertical="center"/>
    </xf>
    <xf numFmtId="178" fontId="2" fillId="0" borderId="10" xfId="4" applyNumberFormat="1" applyFont="1" applyBorder="1" applyAlignment="1">
      <alignment horizontal="center" vertical="center"/>
    </xf>
    <xf numFmtId="178" fontId="2" fillId="6" borderId="4" xfId="4" applyNumberFormat="1" applyFont="1" applyFill="1" applyBorder="1" applyAlignment="1">
      <alignment horizontal="center" vertical="center"/>
    </xf>
    <xf numFmtId="178" fontId="2" fillId="0" borderId="9" xfId="4" applyNumberFormat="1" applyFont="1" applyBorder="1" applyAlignment="1">
      <alignment horizontal="center" vertical="center"/>
    </xf>
    <xf numFmtId="178" fontId="2" fillId="0" borderId="44" xfId="4" applyNumberFormat="1" applyFont="1" applyBorder="1" applyAlignment="1">
      <alignment horizontal="center" vertical="center"/>
    </xf>
    <xf numFmtId="178" fontId="2" fillId="6" borderId="45" xfId="4" applyNumberFormat="1" applyFont="1" applyFill="1" applyBorder="1" applyAlignment="1">
      <alignment horizontal="center" vertical="center"/>
    </xf>
    <xf numFmtId="178" fontId="2" fillId="0" borderId="45" xfId="4" applyNumberFormat="1" applyFont="1" applyBorder="1" applyAlignment="1">
      <alignment horizontal="center" vertical="center"/>
    </xf>
    <xf numFmtId="178" fontId="2" fillId="0" borderId="50" xfId="4" applyNumberFormat="1" applyFont="1" applyBorder="1" applyAlignment="1">
      <alignment horizontal="center" vertical="center"/>
    </xf>
    <xf numFmtId="178" fontId="2" fillId="0" borderId="51" xfId="4" applyNumberFormat="1" applyFont="1" applyBorder="1" applyAlignment="1">
      <alignment horizontal="center" vertical="center"/>
    </xf>
    <xf numFmtId="178" fontId="2" fillId="0" borderId="46" xfId="4" applyNumberFormat="1" applyFont="1" applyBorder="1" applyAlignment="1">
      <alignment horizontal="center" vertical="center"/>
    </xf>
    <xf numFmtId="178" fontId="2" fillId="0" borderId="32" xfId="4" applyNumberFormat="1" applyFont="1" applyBorder="1" applyAlignment="1">
      <alignment horizontal="center" vertical="center"/>
    </xf>
    <xf numFmtId="0" fontId="2" fillId="0" borderId="38" xfId="4" applyFont="1" applyBorder="1" applyAlignment="1">
      <alignment horizontal="center" vertical="center" wrapText="1"/>
    </xf>
    <xf numFmtId="0" fontId="2" fillId="0" borderId="28" xfId="4" applyFont="1" applyBorder="1" applyAlignment="1">
      <alignment horizontal="center" vertical="center" wrapText="1"/>
    </xf>
    <xf numFmtId="0" fontId="2" fillId="0" borderId="38" xfId="4" applyFont="1" applyBorder="1" applyAlignment="1">
      <alignment horizontal="center" vertical="center"/>
    </xf>
    <xf numFmtId="0" fontId="2" fillId="0" borderId="28" xfId="4" applyFont="1" applyBorder="1" applyAlignment="1">
      <alignment horizontal="center" vertical="center"/>
    </xf>
    <xf numFmtId="0" fontId="2" fillId="0" borderId="47" xfId="4" applyFont="1" applyBorder="1" applyAlignment="1">
      <alignment horizontal="center" vertical="center"/>
    </xf>
    <xf numFmtId="0" fontId="2" fillId="0" borderId="37" xfId="4" applyFont="1" applyBorder="1" applyAlignment="1">
      <alignment horizontal="center" vertical="center"/>
    </xf>
    <xf numFmtId="178" fontId="2" fillId="0" borderId="59" xfId="4" applyNumberFormat="1" applyFont="1" applyBorder="1" applyAlignment="1">
      <alignment horizontal="center" vertical="center"/>
    </xf>
    <xf numFmtId="178" fontId="2" fillId="0" borderId="60" xfId="4" applyNumberFormat="1" applyFont="1" applyBorder="1" applyAlignment="1">
      <alignment horizontal="center" vertical="center"/>
    </xf>
    <xf numFmtId="178" fontId="2" fillId="0" borderId="61" xfId="4" applyNumberFormat="1" applyFont="1" applyBorder="1" applyAlignment="1">
      <alignment horizontal="center" vertical="center"/>
    </xf>
    <xf numFmtId="178" fontId="2" fillId="0" borderId="62" xfId="4" applyNumberFormat="1" applyFont="1" applyBorder="1" applyAlignment="1">
      <alignment horizontal="center" vertical="center"/>
    </xf>
    <xf numFmtId="178" fontId="2" fillId="0" borderId="57" xfId="4" applyNumberFormat="1" applyFont="1" applyBorder="1" applyAlignment="1">
      <alignment horizontal="center" vertical="center"/>
    </xf>
    <xf numFmtId="178" fontId="2" fillId="0" borderId="58" xfId="4" applyNumberFormat="1" applyFont="1" applyBorder="1" applyAlignment="1">
      <alignment horizontal="center" vertical="center"/>
    </xf>
    <xf numFmtId="178" fontId="2" fillId="0" borderId="65" xfId="4" applyNumberFormat="1" applyFont="1" applyBorder="1" applyAlignment="1">
      <alignment horizontal="center" vertical="center"/>
    </xf>
    <xf numFmtId="178" fontId="2" fillId="0" borderId="66" xfId="4" applyNumberFormat="1" applyFont="1" applyBorder="1" applyAlignment="1">
      <alignment horizontal="center" vertical="center"/>
    </xf>
    <xf numFmtId="178" fontId="2" fillId="0" borderId="67" xfId="4" applyNumberFormat="1" applyFont="1" applyBorder="1" applyAlignment="1">
      <alignment horizontal="center" vertical="center"/>
    </xf>
    <xf numFmtId="178" fontId="2" fillId="0" borderId="68" xfId="4" applyNumberFormat="1" applyFont="1" applyBorder="1" applyAlignment="1">
      <alignment horizontal="center" vertical="center"/>
    </xf>
    <xf numFmtId="0" fontId="2" fillId="0" borderId="47" xfId="4" applyFont="1" applyBorder="1" applyAlignment="1">
      <alignment horizontal="center" vertical="center" wrapText="1"/>
    </xf>
    <xf numFmtId="0" fontId="2" fillId="0" borderId="8" xfId="4" applyFont="1" applyBorder="1" applyAlignment="1">
      <alignment horizontal="center" vertical="center" wrapText="1"/>
    </xf>
    <xf numFmtId="178" fontId="2" fillId="0" borderId="8" xfId="4" applyNumberFormat="1" applyFont="1" applyBorder="1" applyAlignment="1">
      <alignment horizontal="center" vertical="center"/>
    </xf>
    <xf numFmtId="178" fontId="2" fillId="0" borderId="0" xfId="4" applyNumberFormat="1" applyFont="1" applyAlignment="1">
      <alignment horizontal="center" vertical="center"/>
    </xf>
    <xf numFmtId="0" fontId="2" fillId="0" borderId="0" xfId="4" applyFont="1" applyAlignment="1">
      <alignment horizontal="center" vertical="center" wrapText="1"/>
    </xf>
    <xf numFmtId="0" fontId="2" fillId="6" borderId="70" xfId="4" applyFont="1" applyFill="1" applyBorder="1" applyAlignment="1">
      <alignment vertical="center" wrapText="1"/>
    </xf>
    <xf numFmtId="0" fontId="2" fillId="6" borderId="40" xfId="4" applyFont="1" applyFill="1" applyBorder="1" applyAlignment="1">
      <alignment horizontal="center" vertical="center" wrapText="1"/>
    </xf>
    <xf numFmtId="178" fontId="2" fillId="0" borderId="71" xfId="4" applyNumberFormat="1" applyFont="1" applyBorder="1" applyAlignment="1">
      <alignment horizontal="center" vertical="center"/>
    </xf>
    <xf numFmtId="178" fontId="2" fillId="0" borderId="72" xfId="4" applyNumberFormat="1" applyFont="1" applyBorder="1" applyAlignment="1">
      <alignment horizontal="center" vertical="center"/>
    </xf>
    <xf numFmtId="178" fontId="2" fillId="0" borderId="13" xfId="4" applyNumberFormat="1" applyFont="1" applyBorder="1" applyAlignment="1">
      <alignment horizontal="center" vertical="center"/>
    </xf>
    <xf numFmtId="178" fontId="2" fillId="0" borderId="1" xfId="4" applyNumberFormat="1" applyFont="1" applyBorder="1" applyAlignment="1">
      <alignment horizontal="center" vertical="center"/>
    </xf>
    <xf numFmtId="178" fontId="2" fillId="6" borderId="59" xfId="4" applyNumberFormat="1" applyFont="1" applyFill="1" applyBorder="1" applyAlignment="1">
      <alignment horizontal="center" vertical="center"/>
    </xf>
    <xf numFmtId="178" fontId="2" fillId="6" borderId="60" xfId="4" applyNumberFormat="1" applyFont="1" applyFill="1" applyBorder="1" applyAlignment="1">
      <alignment horizontal="center" vertical="center"/>
    </xf>
    <xf numFmtId="0" fontId="2" fillId="0" borderId="69" xfId="4" applyFont="1" applyBorder="1" applyAlignment="1">
      <alignment horizontal="center" vertical="center" wrapText="1"/>
    </xf>
    <xf numFmtId="178" fontId="2" fillId="0" borderId="74" xfId="4" applyNumberFormat="1" applyFont="1" applyBorder="1" applyAlignment="1">
      <alignment horizontal="center" vertical="center"/>
    </xf>
    <xf numFmtId="178" fontId="2" fillId="0" borderId="75" xfId="4" applyNumberFormat="1" applyFont="1" applyBorder="1" applyAlignment="1">
      <alignment horizontal="center" vertical="center"/>
    </xf>
    <xf numFmtId="178" fontId="2" fillId="0" borderId="76" xfId="4" applyNumberFormat="1" applyFont="1" applyBorder="1" applyAlignment="1">
      <alignment horizontal="center" vertical="center"/>
    </xf>
    <xf numFmtId="178" fontId="2" fillId="0" borderId="77" xfId="4" applyNumberFormat="1" applyFont="1" applyBorder="1" applyAlignment="1">
      <alignment horizontal="center" vertical="center"/>
    </xf>
    <xf numFmtId="178" fontId="2" fillId="6" borderId="67" xfId="4" applyNumberFormat="1" applyFont="1" applyFill="1" applyBorder="1" applyAlignment="1">
      <alignment horizontal="center" vertical="center"/>
    </xf>
    <xf numFmtId="178" fontId="2" fillId="6" borderId="68" xfId="4" applyNumberFormat="1" applyFont="1" applyFill="1" applyBorder="1" applyAlignment="1">
      <alignment horizontal="center" vertical="center"/>
    </xf>
    <xf numFmtId="0" fontId="2" fillId="6" borderId="5" xfId="4" applyFont="1" applyFill="1" applyBorder="1" applyAlignment="1">
      <alignment horizontal="center" vertical="center" wrapText="1"/>
    </xf>
    <xf numFmtId="0" fontId="2" fillId="6" borderId="6" xfId="4" applyFont="1" applyFill="1" applyBorder="1" applyAlignment="1">
      <alignment horizontal="center" vertical="center" wrapText="1"/>
    </xf>
    <xf numFmtId="0" fontId="2" fillId="6" borderId="39" xfId="4" applyFont="1" applyFill="1" applyBorder="1" applyAlignment="1">
      <alignment horizontal="center" vertical="center" wrapText="1"/>
    </xf>
    <xf numFmtId="0" fontId="2" fillId="6" borderId="73" xfId="4" applyFont="1" applyFill="1" applyBorder="1" applyAlignment="1">
      <alignment vertical="center" wrapText="1"/>
    </xf>
    <xf numFmtId="0" fontId="7" fillId="3" borderId="0" xfId="2" applyFont="1" applyFill="1" applyAlignment="1">
      <alignment vertical="top"/>
    </xf>
    <xf numFmtId="0" fontId="2" fillId="6" borderId="31" xfId="4" applyFont="1" applyFill="1" applyBorder="1" applyAlignment="1">
      <alignment horizontal="center" vertical="center" wrapText="1"/>
    </xf>
    <xf numFmtId="0" fontId="2" fillId="0" borderId="0" xfId="2" applyAlignment="1">
      <alignment horizontal="center" vertical="center"/>
    </xf>
    <xf numFmtId="0" fontId="2" fillId="0" borderId="0" xfId="2" applyAlignment="1">
      <alignment vertical="top" wrapText="1"/>
    </xf>
    <xf numFmtId="0" fontId="0" fillId="0" borderId="5" xfId="0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46" xfId="4" applyFont="1" applyBorder="1" applyAlignment="1">
      <alignment horizontal="center" vertical="center"/>
    </xf>
    <xf numFmtId="0" fontId="2" fillId="0" borderId="83" xfId="4" applyFont="1" applyBorder="1" applyAlignment="1">
      <alignment horizontal="center" vertical="center" wrapText="1"/>
    </xf>
    <xf numFmtId="177" fontId="2" fillId="0" borderId="85" xfId="4" applyNumberFormat="1" applyFont="1" applyBorder="1" applyAlignment="1">
      <alignment horizontal="center" vertical="center"/>
    </xf>
    <xf numFmtId="0" fontId="2" fillId="0" borderId="88" xfId="4" applyFont="1" applyBorder="1" applyAlignment="1">
      <alignment horizontal="center" vertical="center" wrapText="1"/>
    </xf>
    <xf numFmtId="0" fontId="2" fillId="0" borderId="89" xfId="4" applyFont="1" applyBorder="1" applyAlignment="1">
      <alignment horizontal="center" vertical="center"/>
    </xf>
    <xf numFmtId="177" fontId="2" fillId="0" borderId="91" xfId="4" applyNumberFormat="1" applyFont="1" applyBorder="1" applyAlignment="1">
      <alignment horizontal="center" vertical="center"/>
    </xf>
    <xf numFmtId="177" fontId="2" fillId="0" borderId="92" xfId="4" quotePrefix="1" applyNumberFormat="1" applyFont="1" applyBorder="1" applyAlignment="1">
      <alignment horizontal="center" vertical="center"/>
    </xf>
    <xf numFmtId="177" fontId="2" fillId="0" borderId="93" xfId="4" quotePrefix="1" applyNumberFormat="1" applyFont="1" applyBorder="1" applyAlignment="1">
      <alignment horizontal="center" vertical="center"/>
    </xf>
    <xf numFmtId="0" fontId="2" fillId="0" borderId="94" xfId="4" applyFont="1" applyBorder="1" applyAlignment="1">
      <alignment horizontal="center" vertical="center" wrapText="1"/>
    </xf>
    <xf numFmtId="177" fontId="2" fillId="0" borderId="95" xfId="4" applyNumberFormat="1" applyFont="1" applyBorder="1" applyAlignment="1">
      <alignment horizontal="center" vertical="center"/>
    </xf>
    <xf numFmtId="177" fontId="2" fillId="0" borderId="84" xfId="4" applyNumberFormat="1" applyFont="1" applyBorder="1" applyAlignment="1">
      <alignment horizontal="center" vertical="center"/>
    </xf>
    <xf numFmtId="177" fontId="2" fillId="0" borderId="86" xfId="4" applyNumberFormat="1" applyFont="1" applyBorder="1" applyAlignment="1">
      <alignment horizontal="center" vertical="center"/>
    </xf>
    <xf numFmtId="177" fontId="2" fillId="0" borderId="48" xfId="4" applyNumberFormat="1" applyFont="1" applyBorder="1" applyAlignment="1">
      <alignment horizontal="center" vertical="center"/>
    </xf>
    <xf numFmtId="177" fontId="2" fillId="5" borderId="80" xfId="4" quotePrefix="1" applyNumberFormat="1" applyFont="1" applyFill="1" applyBorder="1" applyAlignment="1">
      <alignment horizontal="center" vertical="center"/>
    </xf>
    <xf numFmtId="177" fontId="2" fillId="5" borderId="82" xfId="4" quotePrefix="1" applyNumberFormat="1" applyFont="1" applyFill="1" applyBorder="1" applyAlignment="1">
      <alignment horizontal="center" vertical="center"/>
    </xf>
    <xf numFmtId="177" fontId="2" fillId="0" borderId="90" xfId="4" quotePrefix="1" applyNumberFormat="1" applyFont="1" applyBorder="1" applyAlignment="1">
      <alignment horizontal="center" vertical="center"/>
    </xf>
    <xf numFmtId="177" fontId="2" fillId="5" borderId="90" xfId="4" quotePrefix="1" applyNumberFormat="1" applyFont="1" applyFill="1" applyBorder="1" applyAlignment="1">
      <alignment horizontal="center" vertical="center"/>
    </xf>
    <xf numFmtId="176" fontId="2" fillId="0" borderId="78" xfId="4" applyNumberFormat="1" applyFont="1" applyBorder="1" applyAlignment="1">
      <alignment horizontal="center" vertical="center"/>
    </xf>
    <xf numFmtId="177" fontId="2" fillId="0" borderId="49" xfId="4" applyNumberFormat="1" applyFont="1" applyBorder="1" applyAlignment="1">
      <alignment horizontal="center" vertical="center"/>
    </xf>
    <xf numFmtId="0" fontId="2" fillId="0" borderId="2" xfId="4" applyFont="1" applyBorder="1" applyAlignment="1">
      <alignment horizontal="center" vertical="center" wrapText="1"/>
    </xf>
    <xf numFmtId="176" fontId="2" fillId="0" borderId="48" xfId="4" applyNumberFormat="1" applyFont="1" applyBorder="1" applyAlignment="1">
      <alignment horizontal="center" vertical="center"/>
    </xf>
    <xf numFmtId="177" fontId="2" fillId="0" borderId="52" xfId="4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2" fillId="0" borderId="10" xfId="4" applyFont="1" applyBorder="1" applyAlignment="1">
      <alignment horizontal="center" vertical="center" wrapText="1"/>
    </xf>
    <xf numFmtId="177" fontId="2" fillId="5" borderId="81" xfId="4" applyNumberFormat="1" applyFont="1" applyFill="1" applyBorder="1" applyAlignment="1">
      <alignment horizontal="center" vertical="center" wrapText="1"/>
    </xf>
    <xf numFmtId="177" fontId="2" fillId="5" borderId="93" xfId="4" applyNumberFormat="1" applyFont="1" applyFill="1" applyBorder="1" applyAlignment="1">
      <alignment horizontal="center" vertical="center" wrapText="1"/>
    </xf>
    <xf numFmtId="0" fontId="2" fillId="0" borderId="0" xfId="2" applyAlignment="1">
      <alignment horizontal="right" vertical="center"/>
    </xf>
    <xf numFmtId="0" fontId="2" fillId="0" borderId="0" xfId="2" applyAlignment="1">
      <alignment vertical="top" wrapText="1"/>
    </xf>
    <xf numFmtId="14" fontId="2" fillId="0" borderId="0" xfId="2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2" applyAlignment="1">
      <alignment horizontal="left" vertical="center"/>
    </xf>
    <xf numFmtId="14" fontId="13" fillId="0" borderId="0" xfId="2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0" xfId="2" applyFont="1">
      <alignment vertical="center"/>
    </xf>
    <xf numFmtId="0" fontId="2" fillId="3" borderId="10" xfId="2" applyFill="1" applyBorder="1" applyAlignment="1">
      <alignment horizontal="center" vertical="center"/>
    </xf>
    <xf numFmtId="0" fontId="2" fillId="3" borderId="14" xfId="2" applyFill="1" applyBorder="1" applyAlignment="1">
      <alignment horizontal="center" vertical="center"/>
    </xf>
    <xf numFmtId="0" fontId="6" fillId="3" borderId="5" xfId="2" applyFont="1" applyFill="1" applyBorder="1" applyAlignment="1">
      <alignment horizontal="left" vertical="top" wrapText="1"/>
    </xf>
    <xf numFmtId="0" fontId="6" fillId="3" borderId="5" xfId="2" applyFont="1" applyFill="1" applyBorder="1" applyAlignment="1">
      <alignment horizontal="left" vertical="top"/>
    </xf>
    <xf numFmtId="0" fontId="5" fillId="2" borderId="11" xfId="2" applyFont="1" applyFill="1" applyBorder="1" applyAlignment="1">
      <alignment horizontal="center" vertical="center"/>
    </xf>
    <xf numFmtId="0" fontId="5" fillId="2" borderId="8" xfId="2" applyFont="1" applyFill="1" applyBorder="1" applyAlignment="1">
      <alignment horizontal="center" vertical="center"/>
    </xf>
    <xf numFmtId="0" fontId="5" fillId="2" borderId="9" xfId="2" applyFont="1" applyFill="1" applyBorder="1" applyAlignment="1">
      <alignment horizontal="center" vertical="center"/>
    </xf>
    <xf numFmtId="0" fontId="5" fillId="2" borderId="12" xfId="2" applyFont="1" applyFill="1" applyBorder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5" fillId="2" borderId="15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5" fillId="2" borderId="13" xfId="2" applyFont="1" applyFill="1" applyBorder="1" applyAlignment="1">
      <alignment horizontal="center" vertical="center"/>
    </xf>
    <xf numFmtId="0" fontId="5" fillId="2" borderId="18" xfId="2" applyFont="1" applyFill="1" applyBorder="1" applyAlignment="1">
      <alignment horizontal="center" vertical="center" wrapText="1"/>
    </xf>
    <xf numFmtId="0" fontId="5" fillId="2" borderId="19" xfId="2" applyFont="1" applyFill="1" applyBorder="1" applyAlignment="1">
      <alignment horizontal="center" vertical="center"/>
    </xf>
    <xf numFmtId="0" fontId="5" fillId="2" borderId="20" xfId="2" applyFont="1" applyFill="1" applyBorder="1" applyAlignment="1">
      <alignment horizontal="center" vertical="center"/>
    </xf>
    <xf numFmtId="0" fontId="5" fillId="2" borderId="21" xfId="2" applyFont="1" applyFill="1" applyBorder="1" applyAlignment="1">
      <alignment horizontal="center" vertical="center"/>
    </xf>
    <xf numFmtId="0" fontId="7" fillId="3" borderId="16" xfId="2" applyFont="1" applyFill="1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7" fillId="3" borderId="18" xfId="2" applyFont="1" applyFill="1" applyBorder="1" applyAlignment="1">
      <alignment horizontal="left" vertical="top" wrapText="1"/>
    </xf>
    <xf numFmtId="0" fontId="7" fillId="3" borderId="19" xfId="2" applyFont="1" applyFill="1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7" fillId="3" borderId="11" xfId="2" applyFont="1" applyFill="1" applyBorder="1" applyAlignment="1">
      <alignment horizontal="left" vertical="top" wrapText="1"/>
    </xf>
    <xf numFmtId="0" fontId="7" fillId="3" borderId="8" xfId="2" applyFont="1" applyFill="1" applyBorder="1" applyAlignment="1">
      <alignment horizontal="left" vertical="top" wrapText="1"/>
    </xf>
    <xf numFmtId="0" fontId="7" fillId="3" borderId="9" xfId="2" applyFont="1" applyFill="1" applyBorder="1" applyAlignment="1">
      <alignment horizontal="left" vertical="top" wrapText="1"/>
    </xf>
    <xf numFmtId="0" fontId="7" fillId="3" borderId="2" xfId="2" applyFont="1" applyFill="1" applyBorder="1" applyAlignment="1">
      <alignment horizontal="left" vertical="top" wrapText="1"/>
    </xf>
    <xf numFmtId="0" fontId="7" fillId="3" borderId="3" xfId="2" applyFont="1" applyFill="1" applyBorder="1" applyAlignment="1">
      <alignment horizontal="left" vertical="top" wrapText="1"/>
    </xf>
    <xf numFmtId="0" fontId="7" fillId="3" borderId="13" xfId="2" applyFont="1" applyFill="1" applyBorder="1" applyAlignment="1">
      <alignment horizontal="left" vertical="top" wrapText="1"/>
    </xf>
    <xf numFmtId="0" fontId="7" fillId="3" borderId="10" xfId="2" applyFont="1" applyFill="1" applyBorder="1" applyAlignment="1">
      <alignment horizontal="center" vertical="top"/>
    </xf>
    <xf numFmtId="0" fontId="7" fillId="3" borderId="14" xfId="2" applyFont="1" applyFill="1" applyBorder="1" applyAlignment="1">
      <alignment horizontal="center" vertical="top"/>
    </xf>
    <xf numFmtId="0" fontId="2" fillId="0" borderId="0" xfId="2" applyAlignment="1">
      <alignment horizontal="left" vertical="top" wrapText="1"/>
    </xf>
    <xf numFmtId="0" fontId="3" fillId="2" borderId="10" xfId="2" applyFont="1" applyFill="1" applyBorder="1" applyAlignment="1">
      <alignment horizontal="center" vertical="center"/>
    </xf>
    <xf numFmtId="0" fontId="3" fillId="2" borderId="14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 wrapText="1"/>
    </xf>
    <xf numFmtId="0" fontId="5" fillId="2" borderId="10" xfId="2" applyFont="1" applyFill="1" applyBorder="1" applyAlignment="1">
      <alignment horizontal="center" vertical="center"/>
    </xf>
    <xf numFmtId="0" fontId="5" fillId="2" borderId="14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2" fillId="4" borderId="10" xfId="2" applyFill="1" applyBorder="1" applyAlignment="1">
      <alignment horizontal="center" vertical="center"/>
    </xf>
    <xf numFmtId="0" fontId="2" fillId="4" borderId="1" xfId="2" applyFill="1" applyBorder="1" applyAlignment="1">
      <alignment horizontal="center" vertical="center"/>
    </xf>
    <xf numFmtId="56" fontId="2" fillId="0" borderId="10" xfId="2" quotePrefix="1" applyNumberFormat="1" applyBorder="1" applyAlignment="1">
      <alignment horizontal="center" vertical="center"/>
    </xf>
    <xf numFmtId="0" fontId="2" fillId="0" borderId="10" xfId="2" applyBorder="1" applyAlignment="1">
      <alignment horizontal="center" vertical="center"/>
    </xf>
    <xf numFmtId="0" fontId="2" fillId="0" borderId="1" xfId="2" applyBorder="1" applyAlignment="1">
      <alignment horizontal="center" vertical="center"/>
    </xf>
    <xf numFmtId="0" fontId="5" fillId="2" borderId="20" xfId="2" applyFont="1" applyFill="1" applyBorder="1" applyAlignment="1">
      <alignment horizontal="center" vertical="center" wrapText="1"/>
    </xf>
    <xf numFmtId="0" fontId="5" fillId="2" borderId="22" xfId="2" applyFont="1" applyFill="1" applyBorder="1" applyAlignment="1">
      <alignment horizontal="center" vertical="center"/>
    </xf>
    <xf numFmtId="0" fontId="5" fillId="2" borderId="23" xfId="2" applyFont="1" applyFill="1" applyBorder="1" applyAlignment="1">
      <alignment horizontal="center" vertical="center"/>
    </xf>
    <xf numFmtId="0" fontId="7" fillId="3" borderId="6" xfId="2" applyFont="1" applyFill="1" applyBorder="1" applyAlignment="1">
      <alignment horizontal="center" vertical="top" wrapText="1"/>
    </xf>
    <xf numFmtId="0" fontId="7" fillId="3" borderId="7" xfId="2" applyFont="1" applyFill="1" applyBorder="1" applyAlignment="1">
      <alignment horizontal="center" vertical="top" wrapText="1"/>
    </xf>
    <xf numFmtId="0" fontId="7" fillId="3" borderId="4" xfId="2" applyFont="1" applyFill="1" applyBorder="1" applyAlignment="1">
      <alignment horizontal="center" vertical="top" wrapText="1"/>
    </xf>
    <xf numFmtId="0" fontId="15" fillId="3" borderId="5" xfId="2" applyFont="1" applyFill="1" applyBorder="1" applyAlignment="1">
      <alignment horizontal="left" vertical="top" wrapText="1"/>
    </xf>
    <xf numFmtId="0" fontId="15" fillId="3" borderId="5" xfId="2" applyFont="1" applyFill="1" applyBorder="1" applyAlignment="1">
      <alignment horizontal="left" vertical="top"/>
    </xf>
    <xf numFmtId="0" fontId="7" fillId="3" borderId="10" xfId="2" applyFont="1" applyFill="1" applyBorder="1" applyAlignment="1">
      <alignment horizontal="center" vertical="center"/>
    </xf>
    <xf numFmtId="0" fontId="7" fillId="3" borderId="14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/>
    </xf>
    <xf numFmtId="0" fontId="6" fillId="3" borderId="11" xfId="2" applyFont="1" applyFill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2" fillId="3" borderId="1" xfId="2" applyFill="1" applyBorder="1" applyAlignment="1">
      <alignment horizontal="center" vertical="center"/>
    </xf>
    <xf numFmtId="0" fontId="13" fillId="3" borderId="10" xfId="2" applyFont="1" applyFill="1" applyBorder="1" applyAlignment="1">
      <alignment horizontal="center" vertical="center"/>
    </xf>
    <xf numFmtId="0" fontId="13" fillId="3" borderId="1" xfId="2" applyFont="1" applyFill="1" applyBorder="1" applyAlignment="1">
      <alignment horizontal="center" vertical="center"/>
    </xf>
    <xf numFmtId="0" fontId="7" fillId="3" borderId="12" xfId="2" applyFont="1" applyFill="1" applyBorder="1" applyAlignment="1">
      <alignment horizontal="left" vertical="top" wrapText="1"/>
    </xf>
    <xf numFmtId="0" fontId="7" fillId="3" borderId="15" xfId="2" applyFont="1" applyFill="1" applyBorder="1" applyAlignment="1">
      <alignment horizontal="left" vertical="top" wrapText="1"/>
    </xf>
    <xf numFmtId="0" fontId="7" fillId="3" borderId="24" xfId="2" applyFont="1" applyFill="1" applyBorder="1" applyAlignment="1">
      <alignment horizontal="left" vertical="top" wrapText="1"/>
    </xf>
    <xf numFmtId="0" fontId="7" fillId="3" borderId="25" xfId="2" applyFont="1" applyFill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9" fillId="3" borderId="5" xfId="2" applyFont="1" applyFill="1" applyBorder="1" applyAlignment="1">
      <alignment horizontal="left" vertical="top" wrapText="1"/>
    </xf>
    <xf numFmtId="0" fontId="12" fillId="3" borderId="5" xfId="2" applyFont="1" applyFill="1" applyBorder="1" applyAlignment="1">
      <alignment horizontal="left" vertical="top"/>
    </xf>
    <xf numFmtId="0" fontId="7" fillId="3" borderId="10" xfId="2" applyFont="1" applyFill="1" applyBorder="1" applyAlignment="1">
      <alignment horizontal="center" vertical="top" wrapText="1"/>
    </xf>
    <xf numFmtId="0" fontId="7" fillId="3" borderId="1" xfId="2" applyFont="1" applyFill="1" applyBorder="1" applyAlignment="1">
      <alignment horizontal="center" vertical="top" wrapText="1"/>
    </xf>
    <xf numFmtId="0" fontId="7" fillId="3" borderId="1" xfId="2" applyFont="1" applyFill="1" applyBorder="1" applyAlignment="1">
      <alignment horizontal="center" vertical="top"/>
    </xf>
    <xf numFmtId="0" fontId="13" fillId="3" borderId="22" xfId="2" applyFont="1" applyFill="1" applyBorder="1" applyAlignment="1">
      <alignment horizontal="left" vertical="top" wrapText="1"/>
    </xf>
    <xf numFmtId="0" fontId="14" fillId="0" borderId="23" xfId="0" applyFont="1" applyBorder="1" applyAlignment="1">
      <alignment horizontal="left" vertical="top" wrapText="1"/>
    </xf>
    <xf numFmtId="0" fontId="13" fillId="3" borderId="11" xfId="2" applyFont="1" applyFill="1" applyBorder="1" applyAlignment="1">
      <alignment horizontal="left" vertical="top" wrapText="1"/>
    </xf>
    <xf numFmtId="0" fontId="14" fillId="0" borderId="9" xfId="0" applyFont="1" applyBorder="1" applyAlignment="1">
      <alignment horizontal="left" vertical="top" wrapText="1"/>
    </xf>
    <xf numFmtId="0" fontId="7" fillId="3" borderId="22" xfId="2" applyFont="1" applyFill="1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2" fillId="0" borderId="3" xfId="4" applyFont="1" applyBorder="1">
      <alignment vertical="center"/>
    </xf>
    <xf numFmtId="0" fontId="2" fillId="0" borderId="8" xfId="4" applyFont="1" applyBorder="1">
      <alignment vertical="center"/>
    </xf>
    <xf numFmtId="0" fontId="2" fillId="0" borderId="5" xfId="4" applyFont="1" applyBorder="1" applyAlignment="1">
      <alignment horizontal="center" vertical="center" wrapText="1"/>
    </xf>
    <xf numFmtId="0" fontId="2" fillId="0" borderId="46" xfId="4" applyFont="1" applyBorder="1" applyAlignment="1">
      <alignment horizontal="center" vertical="center" wrapText="1"/>
    </xf>
    <xf numFmtId="0" fontId="2" fillId="6" borderId="11" xfId="4" applyFont="1" applyFill="1" applyBorder="1" applyAlignment="1">
      <alignment horizontal="center" vertical="center" wrapText="1"/>
    </xf>
    <xf numFmtId="0" fontId="2" fillId="6" borderId="12" xfId="4" applyFont="1" applyFill="1" applyBorder="1" applyAlignment="1">
      <alignment horizontal="center" vertical="center" wrapText="1"/>
    </xf>
    <xf numFmtId="0" fontId="2" fillId="6" borderId="9" xfId="4" applyFont="1" applyFill="1" applyBorder="1" applyAlignment="1">
      <alignment horizontal="center" vertical="center" wrapText="1"/>
    </xf>
    <xf numFmtId="0" fontId="2" fillId="6" borderId="15" xfId="4" applyFont="1" applyFill="1" applyBorder="1" applyAlignment="1">
      <alignment horizontal="center" vertical="center" wrapText="1"/>
    </xf>
    <xf numFmtId="0" fontId="2" fillId="6" borderId="10" xfId="4" applyFont="1" applyFill="1" applyBorder="1" applyAlignment="1">
      <alignment horizontal="center" vertical="center" wrapText="1"/>
    </xf>
    <xf numFmtId="0" fontId="2" fillId="6" borderId="14" xfId="4" applyFont="1" applyFill="1" applyBorder="1" applyAlignment="1">
      <alignment horizontal="center" vertical="center" wrapText="1"/>
    </xf>
    <xf numFmtId="0" fontId="2" fillId="0" borderId="10" xfId="4" applyFont="1" applyBorder="1" applyAlignment="1">
      <alignment horizontal="center" vertical="center" wrapText="1"/>
    </xf>
    <xf numFmtId="0" fontId="2" fillId="0" borderId="14" xfId="4" applyFont="1" applyBorder="1" applyAlignment="1">
      <alignment horizontal="center" vertical="center" wrapText="1"/>
    </xf>
    <xf numFmtId="0" fontId="2" fillId="0" borderId="87" xfId="4" applyFont="1" applyBorder="1" applyAlignment="1">
      <alignment horizontal="center" vertical="center" wrapText="1"/>
    </xf>
    <xf numFmtId="0" fontId="2" fillId="0" borderId="10" xfId="4" applyFont="1" applyBorder="1" applyAlignment="1">
      <alignment horizontal="center" vertical="center"/>
    </xf>
    <xf numFmtId="0" fontId="2" fillId="0" borderId="14" xfId="4" applyFont="1" applyBorder="1" applyAlignment="1">
      <alignment horizontal="center" vertical="center"/>
    </xf>
    <xf numFmtId="0" fontId="2" fillId="0" borderId="87" xfId="4" applyFont="1" applyBorder="1" applyAlignment="1">
      <alignment horizontal="center" vertical="center"/>
    </xf>
    <xf numFmtId="0" fontId="2" fillId="0" borderId="96" xfId="4" applyFont="1" applyBorder="1" applyAlignment="1">
      <alignment horizontal="center" vertical="center" wrapText="1"/>
    </xf>
    <xf numFmtId="0" fontId="2" fillId="0" borderId="97" xfId="4" applyFont="1" applyBorder="1" applyAlignment="1">
      <alignment horizontal="center" vertical="center" wrapText="1"/>
    </xf>
    <xf numFmtId="176" fontId="2" fillId="0" borderId="98" xfId="4" applyNumberFormat="1" applyFont="1" applyBorder="1" applyAlignment="1">
      <alignment horizontal="center" vertical="center"/>
    </xf>
    <xf numFmtId="176" fontId="2" fillId="0" borderId="99" xfId="4" applyNumberFormat="1" applyFont="1" applyBorder="1" applyAlignment="1">
      <alignment horizontal="center" vertical="center"/>
    </xf>
    <xf numFmtId="176" fontId="2" fillId="0" borderId="100" xfId="4" applyNumberFormat="1" applyFont="1" applyBorder="1" applyAlignment="1">
      <alignment horizontal="center" vertical="center"/>
    </xf>
    <xf numFmtId="176" fontId="2" fillId="0" borderId="101" xfId="4" applyNumberFormat="1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 wrapText="1"/>
    </xf>
    <xf numFmtId="0" fontId="2" fillId="6" borderId="10" xfId="4" applyFont="1" applyFill="1" applyBorder="1" applyAlignment="1">
      <alignment horizontal="center" vertical="center"/>
    </xf>
    <xf numFmtId="0" fontId="2" fillId="6" borderId="1" xfId="4" applyFont="1" applyFill="1" applyBorder="1" applyAlignment="1">
      <alignment horizontal="center" vertical="center"/>
    </xf>
    <xf numFmtId="0" fontId="12" fillId="0" borderId="10" xfId="4" applyFont="1" applyBorder="1" applyAlignment="1">
      <alignment vertical="center" wrapText="1"/>
    </xf>
    <xf numFmtId="0" fontId="12" fillId="0" borderId="14" xfId="4" applyFont="1" applyBorder="1" applyAlignment="1">
      <alignment vertical="center" wrapText="1"/>
    </xf>
    <xf numFmtId="0" fontId="12" fillId="0" borderId="79" xfId="4" applyFont="1" applyBorder="1" applyAlignment="1">
      <alignment vertical="center" wrapText="1"/>
    </xf>
    <xf numFmtId="0" fontId="12" fillId="0" borderId="87" xfId="4" applyFont="1" applyBorder="1" applyAlignment="1">
      <alignment vertical="center" wrapText="1"/>
    </xf>
    <xf numFmtId="0" fontId="2" fillId="6" borderId="11" xfId="4" applyFont="1" applyFill="1" applyBorder="1" applyAlignment="1">
      <alignment horizontal="center" vertical="center"/>
    </xf>
    <xf numFmtId="0" fontId="2" fillId="6" borderId="9" xfId="4" applyFont="1" applyFill="1" applyBorder="1" applyAlignment="1">
      <alignment horizontal="center" vertical="center"/>
    </xf>
    <xf numFmtId="0" fontId="2" fillId="6" borderId="28" xfId="4" applyFont="1" applyFill="1" applyBorder="1" applyAlignment="1">
      <alignment horizontal="center" vertical="center"/>
    </xf>
    <xf numFmtId="0" fontId="2" fillId="6" borderId="8" xfId="4" applyFont="1" applyFill="1" applyBorder="1" applyAlignment="1">
      <alignment horizontal="center" vertical="center"/>
    </xf>
    <xf numFmtId="0" fontId="2" fillId="6" borderId="1" xfId="4" applyFont="1" applyFill="1" applyBorder="1" applyAlignment="1">
      <alignment horizontal="center" vertical="center" wrapText="1"/>
    </xf>
    <xf numFmtId="0" fontId="2" fillId="6" borderId="2" xfId="4" applyFont="1" applyFill="1" applyBorder="1" applyAlignment="1">
      <alignment horizontal="center" vertical="center" wrapText="1"/>
    </xf>
    <xf numFmtId="0" fontId="2" fillId="6" borderId="13" xfId="4" applyFont="1" applyFill="1" applyBorder="1" applyAlignment="1">
      <alignment horizontal="center" vertical="center" wrapText="1"/>
    </xf>
    <xf numFmtId="0" fontId="2" fillId="6" borderId="35" xfId="4" applyFont="1" applyFill="1" applyBorder="1" applyAlignment="1">
      <alignment horizontal="center" vertical="center" wrapText="1"/>
    </xf>
    <xf numFmtId="0" fontId="2" fillId="6" borderId="36" xfId="4" applyFont="1" applyFill="1" applyBorder="1" applyAlignment="1">
      <alignment horizontal="center" vertical="center" wrapText="1"/>
    </xf>
    <xf numFmtId="0" fontId="2" fillId="6" borderId="5" xfId="4" applyFont="1" applyFill="1" applyBorder="1" applyAlignment="1">
      <alignment horizontal="center" vertical="center" wrapText="1"/>
    </xf>
    <xf numFmtId="0" fontId="2" fillId="0" borderId="41" xfId="4" applyFont="1" applyBorder="1" applyAlignment="1">
      <alignment horizontal="center" vertical="center" wrapText="1"/>
    </xf>
    <xf numFmtId="0" fontId="2" fillId="0" borderId="42" xfId="4" applyFont="1" applyBorder="1" applyAlignment="1">
      <alignment horizontal="center" vertical="center" wrapText="1"/>
    </xf>
    <xf numFmtId="0" fontId="2" fillId="6" borderId="55" xfId="4" applyFont="1" applyFill="1" applyBorder="1" applyAlignment="1">
      <alignment horizontal="center" vertical="center"/>
    </xf>
    <xf numFmtId="0" fontId="2" fillId="6" borderId="4" xfId="4" applyFont="1" applyFill="1" applyBorder="1" applyAlignment="1">
      <alignment horizontal="center" vertical="center"/>
    </xf>
    <xf numFmtId="0" fontId="2" fillId="6" borderId="56" xfId="4" applyFont="1" applyFill="1" applyBorder="1" applyAlignment="1">
      <alignment horizontal="center" vertical="center"/>
    </xf>
    <xf numFmtId="0" fontId="2" fillId="6" borderId="73" xfId="4" applyFont="1" applyFill="1" applyBorder="1" applyAlignment="1">
      <alignment horizontal="center" vertical="center" wrapText="1"/>
    </xf>
    <xf numFmtId="0" fontId="2" fillId="6" borderId="39" xfId="4" applyFont="1" applyFill="1" applyBorder="1" applyAlignment="1">
      <alignment horizontal="center" vertical="center" wrapText="1"/>
    </xf>
    <xf numFmtId="0" fontId="2" fillId="6" borderId="53" xfId="4" applyFont="1" applyFill="1" applyBorder="1" applyAlignment="1">
      <alignment horizontal="center" vertical="center"/>
    </xf>
    <xf numFmtId="0" fontId="2" fillId="6" borderId="54" xfId="4" applyFont="1" applyFill="1" applyBorder="1" applyAlignment="1">
      <alignment horizontal="center" vertical="center"/>
    </xf>
    <xf numFmtId="0" fontId="2" fillId="0" borderId="6" xfId="4" applyFont="1" applyBorder="1" applyAlignment="1">
      <alignment horizontal="center" vertical="center" wrapText="1"/>
    </xf>
    <xf numFmtId="178" fontId="2" fillId="0" borderId="55" xfId="4" applyNumberFormat="1" applyFont="1" applyBorder="1" applyAlignment="1">
      <alignment horizontal="center" vertical="center"/>
    </xf>
    <xf numFmtId="178" fontId="2" fillId="0" borderId="56" xfId="4" applyNumberFormat="1" applyFont="1" applyBorder="1" applyAlignment="1">
      <alignment horizontal="center" vertical="center"/>
    </xf>
    <xf numFmtId="178" fontId="2" fillId="0" borderId="7" xfId="4" applyNumberFormat="1" applyFont="1" applyBorder="1" applyAlignment="1">
      <alignment horizontal="center" vertical="center"/>
    </xf>
    <xf numFmtId="178" fontId="2" fillId="0" borderId="4" xfId="4" applyNumberFormat="1" applyFont="1" applyBorder="1" applyAlignment="1">
      <alignment horizontal="center" vertical="center"/>
    </xf>
    <xf numFmtId="178" fontId="2" fillId="0" borderId="53" xfId="4" applyNumberFormat="1" applyFont="1" applyBorder="1" applyAlignment="1">
      <alignment horizontal="center" vertical="center"/>
    </xf>
    <xf numFmtId="178" fontId="2" fillId="0" borderId="54" xfId="4" applyNumberFormat="1" applyFont="1" applyBorder="1" applyAlignment="1">
      <alignment horizontal="center" vertical="center"/>
    </xf>
    <xf numFmtId="178" fontId="2" fillId="0" borderId="8" xfId="4" applyNumberFormat="1" applyFont="1" applyBorder="1" applyAlignment="1">
      <alignment horizontal="center" vertical="center"/>
    </xf>
    <xf numFmtId="178" fontId="2" fillId="0" borderId="9" xfId="4" applyNumberFormat="1" applyFont="1" applyBorder="1" applyAlignment="1">
      <alignment horizontal="center" vertical="center"/>
    </xf>
    <xf numFmtId="178" fontId="2" fillId="0" borderId="63" xfId="4" applyNumberFormat="1" applyFont="1" applyBorder="1" applyAlignment="1">
      <alignment horizontal="center" vertical="center"/>
    </xf>
    <xf numFmtId="178" fontId="2" fillId="0" borderId="64" xfId="4" applyNumberFormat="1" applyFont="1" applyBorder="1" applyAlignment="1">
      <alignment horizontal="center" vertical="center"/>
    </xf>
    <xf numFmtId="178" fontId="2" fillId="0" borderId="43" xfId="4" applyNumberFormat="1" applyFont="1" applyBorder="1" applyAlignment="1">
      <alignment horizontal="center" vertical="center"/>
    </xf>
    <xf numFmtId="178" fontId="2" fillId="0" borderId="44" xfId="4" applyNumberFormat="1" applyFont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</cellXfs>
  <cellStyles count="5">
    <cellStyle name="桁区切り 2" xfId="1" xr:uid="{00000000-0005-0000-0000-000000000000}"/>
    <cellStyle name="標準" xfId="0" builtinId="0"/>
    <cellStyle name="標準 2" xfId="2" xr:uid="{00000000-0005-0000-0000-000002000000}"/>
    <cellStyle name="標準 3" xfId="3" xr:uid="{00000000-0005-0000-0000-000003000000}"/>
    <cellStyle name="標準 4" xfId="4" xr:uid="{00000000-0005-0000-0000-000004000000}"/>
  </cellStyles>
  <dxfs count="0"/>
  <tableStyles count="0" defaultTableStyle="TableStyleMedium2" defaultPivotStyle="PivotStyleLight16"/>
  <colors>
    <mruColors>
      <color rgb="FF0000FF"/>
      <color rgb="FFFFCCFF"/>
      <color rgb="FFCCFFFF"/>
      <color rgb="FFFFFFCC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8.emf"/><Relationship Id="rId1" Type="http://schemas.openxmlformats.org/officeDocument/2006/relationships/image" Target="../media/image7.emf"/><Relationship Id="rId5" Type="http://schemas.openxmlformats.org/officeDocument/2006/relationships/image" Target="../media/image11.emf"/><Relationship Id="rId4" Type="http://schemas.openxmlformats.org/officeDocument/2006/relationships/image" Target="../media/image10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4.emf"/><Relationship Id="rId2" Type="http://schemas.openxmlformats.org/officeDocument/2006/relationships/image" Target="../media/image13.emf"/><Relationship Id="rId1" Type="http://schemas.openxmlformats.org/officeDocument/2006/relationships/image" Target="../media/image12.emf"/><Relationship Id="rId5" Type="http://schemas.openxmlformats.org/officeDocument/2006/relationships/image" Target="../media/image16.emf"/><Relationship Id="rId4" Type="http://schemas.openxmlformats.org/officeDocument/2006/relationships/image" Target="../media/image15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8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276225</xdr:colOff>
          <xdr:row>5</xdr:row>
          <xdr:rowOff>38100</xdr:rowOff>
        </xdr:from>
        <xdr:to>
          <xdr:col>26</xdr:col>
          <xdr:colOff>123825</xdr:colOff>
          <xdr:row>24</xdr:row>
          <xdr:rowOff>38100</xdr:rowOff>
        </xdr:to>
        <xdr:pic>
          <xdr:nvPicPr>
            <xdr:cNvPr id="3" name="図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6:$L$24" spid="_x0000_s212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487025" y="895350"/>
              <a:ext cx="7162800" cy="51720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466725</xdr:colOff>
          <xdr:row>5</xdr:row>
          <xdr:rowOff>95250</xdr:rowOff>
        </xdr:from>
        <xdr:to>
          <xdr:col>21</xdr:col>
          <xdr:colOff>447675</xdr:colOff>
          <xdr:row>11</xdr:row>
          <xdr:rowOff>104775</xdr:rowOff>
        </xdr:to>
        <xdr:pic>
          <xdr:nvPicPr>
            <xdr:cNvPr id="3" name="図 2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6:$J$11" spid="_x0000_s416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972550" y="952500"/>
              <a:ext cx="6076950" cy="17240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542925</xdr:colOff>
          <xdr:row>5</xdr:row>
          <xdr:rowOff>47625</xdr:rowOff>
        </xdr:from>
        <xdr:to>
          <xdr:col>27</xdr:col>
          <xdr:colOff>323850</xdr:colOff>
          <xdr:row>10</xdr:row>
          <xdr:rowOff>47625</xdr:rowOff>
        </xdr:to>
        <xdr:pic>
          <xdr:nvPicPr>
            <xdr:cNvPr id="4" name="図 3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E$6:$N$10" spid="_x0000_s519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525125" y="904875"/>
              <a:ext cx="7705725" cy="1714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514350</xdr:colOff>
          <xdr:row>5</xdr:row>
          <xdr:rowOff>104775</xdr:rowOff>
        </xdr:from>
        <xdr:to>
          <xdr:col>25</xdr:col>
          <xdr:colOff>66675</xdr:colOff>
          <xdr:row>11</xdr:row>
          <xdr:rowOff>114300</xdr:rowOff>
        </xdr:to>
        <xdr:pic>
          <xdr:nvPicPr>
            <xdr:cNvPr id="3" name="図 2">
              <a:extLst>
                <a:ext uri="{FF2B5EF4-FFF2-40B4-BE49-F238E27FC236}">
                  <a16:creationId xmlns:a16="http://schemas.microsoft.com/office/drawing/2014/main" id="{00000000-0008-0000-04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6:$K$11" spid="_x0000_s647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420350" y="962025"/>
              <a:ext cx="8086725" cy="10477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</xdr:colOff>
          <xdr:row>13</xdr:row>
          <xdr:rowOff>19050</xdr:rowOff>
        </xdr:from>
        <xdr:to>
          <xdr:col>25</xdr:col>
          <xdr:colOff>190500</xdr:colOff>
          <xdr:row>21</xdr:row>
          <xdr:rowOff>28575</xdr:rowOff>
        </xdr:to>
        <xdr:pic>
          <xdr:nvPicPr>
            <xdr:cNvPr id="4" name="図 3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14:$K$21" spid="_x0000_s647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0544175" y="2257425"/>
              <a:ext cx="8086725" cy="13906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66675</xdr:colOff>
          <xdr:row>23</xdr:row>
          <xdr:rowOff>19050</xdr:rowOff>
        </xdr:from>
        <xdr:to>
          <xdr:col>25</xdr:col>
          <xdr:colOff>228600</xdr:colOff>
          <xdr:row>28</xdr:row>
          <xdr:rowOff>28575</xdr:rowOff>
        </xdr:to>
        <xdr:pic>
          <xdr:nvPicPr>
            <xdr:cNvPr id="5" name="図 4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24:$K$28" spid="_x0000_s6475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0582275" y="3981450"/>
              <a:ext cx="8086725" cy="8763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30</xdr:row>
          <xdr:rowOff>123825</xdr:rowOff>
        </xdr:from>
        <xdr:to>
          <xdr:col>25</xdr:col>
          <xdr:colOff>238125</xdr:colOff>
          <xdr:row>35</xdr:row>
          <xdr:rowOff>133350</xdr:rowOff>
        </xdr:to>
        <xdr:pic>
          <xdr:nvPicPr>
            <xdr:cNvPr id="6" name="図 5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31:$K$35" spid="_x0000_s6476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10591800" y="5295900"/>
              <a:ext cx="8086725" cy="8763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76200</xdr:colOff>
          <xdr:row>37</xdr:row>
          <xdr:rowOff>76200</xdr:rowOff>
        </xdr:from>
        <xdr:to>
          <xdr:col>25</xdr:col>
          <xdr:colOff>238125</xdr:colOff>
          <xdr:row>42</xdr:row>
          <xdr:rowOff>85725</xdr:rowOff>
        </xdr:to>
        <xdr:pic>
          <xdr:nvPicPr>
            <xdr:cNvPr id="7" name="図 6">
              <a:extLst>
                <a:ext uri="{FF2B5EF4-FFF2-40B4-BE49-F238E27FC236}">
                  <a16:creationId xmlns:a16="http://schemas.microsoft.com/office/drawing/2014/main" id="{00000000-0008-0000-04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38:$K$42" spid="_x0000_s6477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0591800" y="6457950"/>
              <a:ext cx="8086725" cy="10953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0</xdr:rowOff>
        </xdr:from>
        <xdr:to>
          <xdr:col>15</xdr:col>
          <xdr:colOff>314325</xdr:colOff>
          <xdr:row>15</xdr:row>
          <xdr:rowOff>9525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5:$E$9" spid="_x0000_s823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010400" y="1524000"/>
              <a:ext cx="5010150" cy="9239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>
          <a:lnSpc>
            <a:spcPts val="1300"/>
          </a:lnSpc>
          <a:defRPr kumimoji="1" sz="1100">
            <a:solidFill>
              <a:sysClr val="windowText" lastClr="000000"/>
            </a:solidFill>
            <a:latin typeface="ＭＳ Ｐゴシック" panose="020B0600070205080204" pitchFamily="50" charset="-128"/>
            <a:ea typeface="ＭＳ Ｐゴシック" panose="020B0600070205080204" pitchFamily="50" charset="-128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Z59"/>
  <sheetViews>
    <sheetView tabSelected="1" view="pageBreakPreview" zoomScaleNormal="100" zoomScaleSheetLayoutView="100" workbookViewId="0">
      <selection activeCell="V13" sqref="V13"/>
    </sheetView>
  </sheetViews>
  <sheetFormatPr defaultRowHeight="12.75" x14ac:dyDescent="0.25"/>
  <cols>
    <col min="1" max="1" width="2.0703125" style="3" customWidth="1"/>
    <col min="2" max="2" width="4" style="1" bestFit="1" customWidth="1"/>
    <col min="3" max="4" width="10.7109375" style="1" customWidth="1"/>
    <col min="5" max="17" width="8.92578125" style="1"/>
    <col min="18" max="18" width="2.0703125" style="1" customWidth="1"/>
    <col min="19" max="256" width="8.92578125" style="1"/>
    <col min="257" max="257" width="3.7109375" style="1" customWidth="1"/>
    <col min="258" max="258" width="3.42578125" style="1" bestFit="1" customWidth="1"/>
    <col min="259" max="273" width="8.92578125" style="1"/>
    <col min="274" max="274" width="3.7109375" style="1" customWidth="1"/>
    <col min="275" max="512" width="8.92578125" style="1"/>
    <col min="513" max="513" width="3.7109375" style="1" customWidth="1"/>
    <col min="514" max="514" width="3.42578125" style="1" bestFit="1" customWidth="1"/>
    <col min="515" max="529" width="8.92578125" style="1"/>
    <col min="530" max="530" width="3.7109375" style="1" customWidth="1"/>
    <col min="531" max="768" width="8.92578125" style="1"/>
    <col min="769" max="769" width="3.7109375" style="1" customWidth="1"/>
    <col min="770" max="770" width="3.42578125" style="1" bestFit="1" customWidth="1"/>
    <col min="771" max="785" width="8.92578125" style="1"/>
    <col min="786" max="786" width="3.7109375" style="1" customWidth="1"/>
    <col min="787" max="1024" width="8.92578125" style="1"/>
    <col min="1025" max="1025" width="3.7109375" style="1" customWidth="1"/>
    <col min="1026" max="1026" width="3.42578125" style="1" bestFit="1" customWidth="1"/>
    <col min="1027" max="1041" width="8.92578125" style="1"/>
    <col min="1042" max="1042" width="3.7109375" style="1" customWidth="1"/>
    <col min="1043" max="1280" width="8.92578125" style="1"/>
    <col min="1281" max="1281" width="3.7109375" style="1" customWidth="1"/>
    <col min="1282" max="1282" width="3.42578125" style="1" bestFit="1" customWidth="1"/>
    <col min="1283" max="1297" width="8.92578125" style="1"/>
    <col min="1298" max="1298" width="3.7109375" style="1" customWidth="1"/>
    <col min="1299" max="1536" width="8.92578125" style="1"/>
    <col min="1537" max="1537" width="3.7109375" style="1" customWidth="1"/>
    <col min="1538" max="1538" width="3.42578125" style="1" bestFit="1" customWidth="1"/>
    <col min="1539" max="1553" width="8.92578125" style="1"/>
    <col min="1554" max="1554" width="3.7109375" style="1" customWidth="1"/>
    <col min="1555" max="1792" width="8.92578125" style="1"/>
    <col min="1793" max="1793" width="3.7109375" style="1" customWidth="1"/>
    <col min="1794" max="1794" width="3.42578125" style="1" bestFit="1" customWidth="1"/>
    <col min="1795" max="1809" width="8.92578125" style="1"/>
    <col min="1810" max="1810" width="3.7109375" style="1" customWidth="1"/>
    <col min="1811" max="2048" width="8.92578125" style="1"/>
    <col min="2049" max="2049" width="3.7109375" style="1" customWidth="1"/>
    <col min="2050" max="2050" width="3.42578125" style="1" bestFit="1" customWidth="1"/>
    <col min="2051" max="2065" width="8.92578125" style="1"/>
    <col min="2066" max="2066" width="3.7109375" style="1" customWidth="1"/>
    <col min="2067" max="2304" width="8.92578125" style="1"/>
    <col min="2305" max="2305" width="3.7109375" style="1" customWidth="1"/>
    <col min="2306" max="2306" width="3.42578125" style="1" bestFit="1" customWidth="1"/>
    <col min="2307" max="2321" width="8.92578125" style="1"/>
    <col min="2322" max="2322" width="3.7109375" style="1" customWidth="1"/>
    <col min="2323" max="2560" width="8.92578125" style="1"/>
    <col min="2561" max="2561" width="3.7109375" style="1" customWidth="1"/>
    <col min="2562" max="2562" width="3.42578125" style="1" bestFit="1" customWidth="1"/>
    <col min="2563" max="2577" width="8.92578125" style="1"/>
    <col min="2578" max="2578" width="3.7109375" style="1" customWidth="1"/>
    <col min="2579" max="2816" width="8.92578125" style="1"/>
    <col min="2817" max="2817" width="3.7109375" style="1" customWidth="1"/>
    <col min="2818" max="2818" width="3.42578125" style="1" bestFit="1" customWidth="1"/>
    <col min="2819" max="2833" width="8.92578125" style="1"/>
    <col min="2834" max="2834" width="3.7109375" style="1" customWidth="1"/>
    <col min="2835" max="3072" width="8.92578125" style="1"/>
    <col min="3073" max="3073" width="3.7109375" style="1" customWidth="1"/>
    <col min="3074" max="3074" width="3.42578125" style="1" bestFit="1" customWidth="1"/>
    <col min="3075" max="3089" width="8.92578125" style="1"/>
    <col min="3090" max="3090" width="3.7109375" style="1" customWidth="1"/>
    <col min="3091" max="3328" width="8.92578125" style="1"/>
    <col min="3329" max="3329" width="3.7109375" style="1" customWidth="1"/>
    <col min="3330" max="3330" width="3.42578125" style="1" bestFit="1" customWidth="1"/>
    <col min="3331" max="3345" width="8.92578125" style="1"/>
    <col min="3346" max="3346" width="3.7109375" style="1" customWidth="1"/>
    <col min="3347" max="3584" width="8.92578125" style="1"/>
    <col min="3585" max="3585" width="3.7109375" style="1" customWidth="1"/>
    <col min="3586" max="3586" width="3.42578125" style="1" bestFit="1" customWidth="1"/>
    <col min="3587" max="3601" width="8.92578125" style="1"/>
    <col min="3602" max="3602" width="3.7109375" style="1" customWidth="1"/>
    <col min="3603" max="3840" width="8.92578125" style="1"/>
    <col min="3841" max="3841" width="3.7109375" style="1" customWidth="1"/>
    <col min="3842" max="3842" width="3.42578125" style="1" bestFit="1" customWidth="1"/>
    <col min="3843" max="3857" width="8.92578125" style="1"/>
    <col min="3858" max="3858" width="3.7109375" style="1" customWidth="1"/>
    <col min="3859" max="4096" width="8.92578125" style="1"/>
    <col min="4097" max="4097" width="3.7109375" style="1" customWidth="1"/>
    <col min="4098" max="4098" width="3.42578125" style="1" bestFit="1" customWidth="1"/>
    <col min="4099" max="4113" width="8.92578125" style="1"/>
    <col min="4114" max="4114" width="3.7109375" style="1" customWidth="1"/>
    <col min="4115" max="4352" width="8.92578125" style="1"/>
    <col min="4353" max="4353" width="3.7109375" style="1" customWidth="1"/>
    <col min="4354" max="4354" width="3.42578125" style="1" bestFit="1" customWidth="1"/>
    <col min="4355" max="4369" width="8.92578125" style="1"/>
    <col min="4370" max="4370" width="3.7109375" style="1" customWidth="1"/>
    <col min="4371" max="4608" width="8.92578125" style="1"/>
    <col min="4609" max="4609" width="3.7109375" style="1" customWidth="1"/>
    <col min="4610" max="4610" width="3.42578125" style="1" bestFit="1" customWidth="1"/>
    <col min="4611" max="4625" width="8.92578125" style="1"/>
    <col min="4626" max="4626" width="3.7109375" style="1" customWidth="1"/>
    <col min="4627" max="4864" width="8.92578125" style="1"/>
    <col min="4865" max="4865" width="3.7109375" style="1" customWidth="1"/>
    <col min="4866" max="4866" width="3.42578125" style="1" bestFit="1" customWidth="1"/>
    <col min="4867" max="4881" width="8.92578125" style="1"/>
    <col min="4882" max="4882" width="3.7109375" style="1" customWidth="1"/>
    <col min="4883" max="5120" width="8.92578125" style="1"/>
    <col min="5121" max="5121" width="3.7109375" style="1" customWidth="1"/>
    <col min="5122" max="5122" width="3.42578125" style="1" bestFit="1" customWidth="1"/>
    <col min="5123" max="5137" width="8.92578125" style="1"/>
    <col min="5138" max="5138" width="3.7109375" style="1" customWidth="1"/>
    <col min="5139" max="5376" width="8.92578125" style="1"/>
    <col min="5377" max="5377" width="3.7109375" style="1" customWidth="1"/>
    <col min="5378" max="5378" width="3.42578125" style="1" bestFit="1" customWidth="1"/>
    <col min="5379" max="5393" width="8.92578125" style="1"/>
    <col min="5394" max="5394" width="3.7109375" style="1" customWidth="1"/>
    <col min="5395" max="5632" width="8.92578125" style="1"/>
    <col min="5633" max="5633" width="3.7109375" style="1" customWidth="1"/>
    <col min="5634" max="5634" width="3.42578125" style="1" bestFit="1" customWidth="1"/>
    <col min="5635" max="5649" width="8.92578125" style="1"/>
    <col min="5650" max="5650" width="3.7109375" style="1" customWidth="1"/>
    <col min="5651" max="5888" width="8.92578125" style="1"/>
    <col min="5889" max="5889" width="3.7109375" style="1" customWidth="1"/>
    <col min="5890" max="5890" width="3.42578125" style="1" bestFit="1" customWidth="1"/>
    <col min="5891" max="5905" width="8.92578125" style="1"/>
    <col min="5906" max="5906" width="3.7109375" style="1" customWidth="1"/>
    <col min="5907" max="6144" width="8.92578125" style="1"/>
    <col min="6145" max="6145" width="3.7109375" style="1" customWidth="1"/>
    <col min="6146" max="6146" width="3.42578125" style="1" bestFit="1" customWidth="1"/>
    <col min="6147" max="6161" width="8.92578125" style="1"/>
    <col min="6162" max="6162" width="3.7109375" style="1" customWidth="1"/>
    <col min="6163" max="6400" width="8.92578125" style="1"/>
    <col min="6401" max="6401" width="3.7109375" style="1" customWidth="1"/>
    <col min="6402" max="6402" width="3.42578125" style="1" bestFit="1" customWidth="1"/>
    <col min="6403" max="6417" width="8.92578125" style="1"/>
    <col min="6418" max="6418" width="3.7109375" style="1" customWidth="1"/>
    <col min="6419" max="6656" width="8.92578125" style="1"/>
    <col min="6657" max="6657" width="3.7109375" style="1" customWidth="1"/>
    <col min="6658" max="6658" width="3.42578125" style="1" bestFit="1" customWidth="1"/>
    <col min="6659" max="6673" width="8.92578125" style="1"/>
    <col min="6674" max="6674" width="3.7109375" style="1" customWidth="1"/>
    <col min="6675" max="6912" width="8.92578125" style="1"/>
    <col min="6913" max="6913" width="3.7109375" style="1" customWidth="1"/>
    <col min="6914" max="6914" width="3.42578125" style="1" bestFit="1" customWidth="1"/>
    <col min="6915" max="6929" width="8.92578125" style="1"/>
    <col min="6930" max="6930" width="3.7109375" style="1" customWidth="1"/>
    <col min="6931" max="7168" width="8.92578125" style="1"/>
    <col min="7169" max="7169" width="3.7109375" style="1" customWidth="1"/>
    <col min="7170" max="7170" width="3.42578125" style="1" bestFit="1" customWidth="1"/>
    <col min="7171" max="7185" width="8.92578125" style="1"/>
    <col min="7186" max="7186" width="3.7109375" style="1" customWidth="1"/>
    <col min="7187" max="7424" width="8.92578125" style="1"/>
    <col min="7425" max="7425" width="3.7109375" style="1" customWidth="1"/>
    <col min="7426" max="7426" width="3.42578125" style="1" bestFit="1" customWidth="1"/>
    <col min="7427" max="7441" width="8.92578125" style="1"/>
    <col min="7442" max="7442" width="3.7109375" style="1" customWidth="1"/>
    <col min="7443" max="7680" width="8.92578125" style="1"/>
    <col min="7681" max="7681" width="3.7109375" style="1" customWidth="1"/>
    <col min="7682" max="7682" width="3.42578125" style="1" bestFit="1" customWidth="1"/>
    <col min="7683" max="7697" width="8.92578125" style="1"/>
    <col min="7698" max="7698" width="3.7109375" style="1" customWidth="1"/>
    <col min="7699" max="7936" width="8.92578125" style="1"/>
    <col min="7937" max="7937" width="3.7109375" style="1" customWidth="1"/>
    <col min="7938" max="7938" width="3.42578125" style="1" bestFit="1" customWidth="1"/>
    <col min="7939" max="7953" width="8.92578125" style="1"/>
    <col min="7954" max="7954" width="3.7109375" style="1" customWidth="1"/>
    <col min="7955" max="8192" width="8.92578125" style="1"/>
    <col min="8193" max="8193" width="3.7109375" style="1" customWidth="1"/>
    <col min="8194" max="8194" width="3.42578125" style="1" bestFit="1" customWidth="1"/>
    <col min="8195" max="8209" width="8.92578125" style="1"/>
    <col min="8210" max="8210" width="3.7109375" style="1" customWidth="1"/>
    <col min="8211" max="8448" width="8.92578125" style="1"/>
    <col min="8449" max="8449" width="3.7109375" style="1" customWidth="1"/>
    <col min="8450" max="8450" width="3.42578125" style="1" bestFit="1" customWidth="1"/>
    <col min="8451" max="8465" width="8.92578125" style="1"/>
    <col min="8466" max="8466" width="3.7109375" style="1" customWidth="1"/>
    <col min="8467" max="8704" width="8.92578125" style="1"/>
    <col min="8705" max="8705" width="3.7109375" style="1" customWidth="1"/>
    <col min="8706" max="8706" width="3.42578125" style="1" bestFit="1" customWidth="1"/>
    <col min="8707" max="8721" width="8.92578125" style="1"/>
    <col min="8722" max="8722" width="3.7109375" style="1" customWidth="1"/>
    <col min="8723" max="8960" width="8.92578125" style="1"/>
    <col min="8961" max="8961" width="3.7109375" style="1" customWidth="1"/>
    <col min="8962" max="8962" width="3.42578125" style="1" bestFit="1" customWidth="1"/>
    <col min="8963" max="8977" width="8.92578125" style="1"/>
    <col min="8978" max="8978" width="3.7109375" style="1" customWidth="1"/>
    <col min="8979" max="9216" width="8.92578125" style="1"/>
    <col min="9217" max="9217" width="3.7109375" style="1" customWidth="1"/>
    <col min="9218" max="9218" width="3.42578125" style="1" bestFit="1" customWidth="1"/>
    <col min="9219" max="9233" width="8.92578125" style="1"/>
    <col min="9234" max="9234" width="3.7109375" style="1" customWidth="1"/>
    <col min="9235" max="9472" width="8.92578125" style="1"/>
    <col min="9473" max="9473" width="3.7109375" style="1" customWidth="1"/>
    <col min="9474" max="9474" width="3.42578125" style="1" bestFit="1" customWidth="1"/>
    <col min="9475" max="9489" width="8.92578125" style="1"/>
    <col min="9490" max="9490" width="3.7109375" style="1" customWidth="1"/>
    <col min="9491" max="9728" width="8.92578125" style="1"/>
    <col min="9729" max="9729" width="3.7109375" style="1" customWidth="1"/>
    <col min="9730" max="9730" width="3.42578125" style="1" bestFit="1" customWidth="1"/>
    <col min="9731" max="9745" width="8.92578125" style="1"/>
    <col min="9746" max="9746" width="3.7109375" style="1" customWidth="1"/>
    <col min="9747" max="9984" width="8.92578125" style="1"/>
    <col min="9985" max="9985" width="3.7109375" style="1" customWidth="1"/>
    <col min="9986" max="9986" width="3.42578125" style="1" bestFit="1" customWidth="1"/>
    <col min="9987" max="10001" width="8.92578125" style="1"/>
    <col min="10002" max="10002" width="3.7109375" style="1" customWidth="1"/>
    <col min="10003" max="10240" width="8.92578125" style="1"/>
    <col min="10241" max="10241" width="3.7109375" style="1" customWidth="1"/>
    <col min="10242" max="10242" width="3.42578125" style="1" bestFit="1" customWidth="1"/>
    <col min="10243" max="10257" width="8.92578125" style="1"/>
    <col min="10258" max="10258" width="3.7109375" style="1" customWidth="1"/>
    <col min="10259" max="10496" width="8.92578125" style="1"/>
    <col min="10497" max="10497" width="3.7109375" style="1" customWidth="1"/>
    <col min="10498" max="10498" width="3.42578125" style="1" bestFit="1" customWidth="1"/>
    <col min="10499" max="10513" width="8.92578125" style="1"/>
    <col min="10514" max="10514" width="3.7109375" style="1" customWidth="1"/>
    <col min="10515" max="10752" width="8.92578125" style="1"/>
    <col min="10753" max="10753" width="3.7109375" style="1" customWidth="1"/>
    <col min="10754" max="10754" width="3.42578125" style="1" bestFit="1" customWidth="1"/>
    <col min="10755" max="10769" width="8.92578125" style="1"/>
    <col min="10770" max="10770" width="3.7109375" style="1" customWidth="1"/>
    <col min="10771" max="11008" width="8.92578125" style="1"/>
    <col min="11009" max="11009" width="3.7109375" style="1" customWidth="1"/>
    <col min="11010" max="11010" width="3.42578125" style="1" bestFit="1" customWidth="1"/>
    <col min="11011" max="11025" width="8.92578125" style="1"/>
    <col min="11026" max="11026" width="3.7109375" style="1" customWidth="1"/>
    <col min="11027" max="11264" width="8.92578125" style="1"/>
    <col min="11265" max="11265" width="3.7109375" style="1" customWidth="1"/>
    <col min="11266" max="11266" width="3.42578125" style="1" bestFit="1" customWidth="1"/>
    <col min="11267" max="11281" width="8.92578125" style="1"/>
    <col min="11282" max="11282" width="3.7109375" style="1" customWidth="1"/>
    <col min="11283" max="11520" width="8.92578125" style="1"/>
    <col min="11521" max="11521" width="3.7109375" style="1" customWidth="1"/>
    <col min="11522" max="11522" width="3.42578125" style="1" bestFit="1" customWidth="1"/>
    <col min="11523" max="11537" width="8.92578125" style="1"/>
    <col min="11538" max="11538" width="3.7109375" style="1" customWidth="1"/>
    <col min="11539" max="11776" width="8.92578125" style="1"/>
    <col min="11777" max="11777" width="3.7109375" style="1" customWidth="1"/>
    <col min="11778" max="11778" width="3.42578125" style="1" bestFit="1" customWidth="1"/>
    <col min="11779" max="11793" width="8.92578125" style="1"/>
    <col min="11794" max="11794" width="3.7109375" style="1" customWidth="1"/>
    <col min="11795" max="12032" width="8.92578125" style="1"/>
    <col min="12033" max="12033" width="3.7109375" style="1" customWidth="1"/>
    <col min="12034" max="12034" width="3.42578125" style="1" bestFit="1" customWidth="1"/>
    <col min="12035" max="12049" width="8.92578125" style="1"/>
    <col min="12050" max="12050" width="3.7109375" style="1" customWidth="1"/>
    <col min="12051" max="12288" width="8.92578125" style="1"/>
    <col min="12289" max="12289" width="3.7109375" style="1" customWidth="1"/>
    <col min="12290" max="12290" width="3.42578125" style="1" bestFit="1" customWidth="1"/>
    <col min="12291" max="12305" width="8.92578125" style="1"/>
    <col min="12306" max="12306" width="3.7109375" style="1" customWidth="1"/>
    <col min="12307" max="12544" width="8.92578125" style="1"/>
    <col min="12545" max="12545" width="3.7109375" style="1" customWidth="1"/>
    <col min="12546" max="12546" width="3.42578125" style="1" bestFit="1" customWidth="1"/>
    <col min="12547" max="12561" width="8.92578125" style="1"/>
    <col min="12562" max="12562" width="3.7109375" style="1" customWidth="1"/>
    <col min="12563" max="12800" width="8.92578125" style="1"/>
    <col min="12801" max="12801" width="3.7109375" style="1" customWidth="1"/>
    <col min="12802" max="12802" width="3.42578125" style="1" bestFit="1" customWidth="1"/>
    <col min="12803" max="12817" width="8.92578125" style="1"/>
    <col min="12818" max="12818" width="3.7109375" style="1" customWidth="1"/>
    <col min="12819" max="13056" width="8.92578125" style="1"/>
    <col min="13057" max="13057" width="3.7109375" style="1" customWidth="1"/>
    <col min="13058" max="13058" width="3.42578125" style="1" bestFit="1" customWidth="1"/>
    <col min="13059" max="13073" width="8.92578125" style="1"/>
    <col min="13074" max="13074" width="3.7109375" style="1" customWidth="1"/>
    <col min="13075" max="13312" width="8.92578125" style="1"/>
    <col min="13313" max="13313" width="3.7109375" style="1" customWidth="1"/>
    <col min="13314" max="13314" width="3.42578125" style="1" bestFit="1" customWidth="1"/>
    <col min="13315" max="13329" width="8.92578125" style="1"/>
    <col min="13330" max="13330" width="3.7109375" style="1" customWidth="1"/>
    <col min="13331" max="13568" width="8.92578125" style="1"/>
    <col min="13569" max="13569" width="3.7109375" style="1" customWidth="1"/>
    <col min="13570" max="13570" width="3.42578125" style="1" bestFit="1" customWidth="1"/>
    <col min="13571" max="13585" width="8.92578125" style="1"/>
    <col min="13586" max="13586" width="3.7109375" style="1" customWidth="1"/>
    <col min="13587" max="13824" width="8.92578125" style="1"/>
    <col min="13825" max="13825" width="3.7109375" style="1" customWidth="1"/>
    <col min="13826" max="13826" width="3.42578125" style="1" bestFit="1" customWidth="1"/>
    <col min="13827" max="13841" width="8.92578125" style="1"/>
    <col min="13842" max="13842" width="3.7109375" style="1" customWidth="1"/>
    <col min="13843" max="14080" width="8.92578125" style="1"/>
    <col min="14081" max="14081" width="3.7109375" style="1" customWidth="1"/>
    <col min="14082" max="14082" width="3.42578125" style="1" bestFit="1" customWidth="1"/>
    <col min="14083" max="14097" width="8.92578125" style="1"/>
    <col min="14098" max="14098" width="3.7109375" style="1" customWidth="1"/>
    <col min="14099" max="14336" width="8.92578125" style="1"/>
    <col min="14337" max="14337" width="3.7109375" style="1" customWidth="1"/>
    <col min="14338" max="14338" width="3.42578125" style="1" bestFit="1" customWidth="1"/>
    <col min="14339" max="14353" width="8.92578125" style="1"/>
    <col min="14354" max="14354" width="3.7109375" style="1" customWidth="1"/>
    <col min="14355" max="14592" width="8.92578125" style="1"/>
    <col min="14593" max="14593" width="3.7109375" style="1" customWidth="1"/>
    <col min="14594" max="14594" width="3.42578125" style="1" bestFit="1" customWidth="1"/>
    <col min="14595" max="14609" width="8.92578125" style="1"/>
    <col min="14610" max="14610" width="3.7109375" style="1" customWidth="1"/>
    <col min="14611" max="14848" width="8.92578125" style="1"/>
    <col min="14849" max="14849" width="3.7109375" style="1" customWidth="1"/>
    <col min="14850" max="14850" width="3.42578125" style="1" bestFit="1" customWidth="1"/>
    <col min="14851" max="14865" width="8.92578125" style="1"/>
    <col min="14866" max="14866" width="3.7109375" style="1" customWidth="1"/>
    <col min="14867" max="15104" width="8.92578125" style="1"/>
    <col min="15105" max="15105" width="3.7109375" style="1" customWidth="1"/>
    <col min="15106" max="15106" width="3.42578125" style="1" bestFit="1" customWidth="1"/>
    <col min="15107" max="15121" width="8.92578125" style="1"/>
    <col min="15122" max="15122" width="3.7109375" style="1" customWidth="1"/>
    <col min="15123" max="15360" width="8.92578125" style="1"/>
    <col min="15361" max="15361" width="3.7109375" style="1" customWidth="1"/>
    <col min="15362" max="15362" width="3.42578125" style="1" bestFit="1" customWidth="1"/>
    <col min="15363" max="15377" width="8.92578125" style="1"/>
    <col min="15378" max="15378" width="3.7109375" style="1" customWidth="1"/>
    <col min="15379" max="15616" width="8.92578125" style="1"/>
    <col min="15617" max="15617" width="3.7109375" style="1" customWidth="1"/>
    <col min="15618" max="15618" width="3.42578125" style="1" bestFit="1" customWidth="1"/>
    <col min="15619" max="15633" width="8.92578125" style="1"/>
    <col min="15634" max="15634" width="3.7109375" style="1" customWidth="1"/>
    <col min="15635" max="15872" width="8.92578125" style="1"/>
    <col min="15873" max="15873" width="3.7109375" style="1" customWidth="1"/>
    <col min="15874" max="15874" width="3.42578125" style="1" bestFit="1" customWidth="1"/>
    <col min="15875" max="15889" width="8.92578125" style="1"/>
    <col min="15890" max="15890" width="3.7109375" style="1" customWidth="1"/>
    <col min="15891" max="16128" width="8.92578125" style="1"/>
    <col min="16129" max="16129" width="3.7109375" style="1" customWidth="1"/>
    <col min="16130" max="16130" width="3.42578125" style="1" bestFit="1" customWidth="1"/>
    <col min="16131" max="16145" width="8.92578125" style="1"/>
    <col min="16146" max="16146" width="3.7109375" style="1" customWidth="1"/>
    <col min="16147" max="16384" width="8.92578125" style="1"/>
  </cols>
  <sheetData>
    <row r="1" spans="1:23" ht="22.9" x14ac:dyDescent="0.25">
      <c r="A1" s="2" t="s">
        <v>133</v>
      </c>
    </row>
    <row r="2" spans="1:23" x14ac:dyDescent="0.25">
      <c r="O2" s="127"/>
      <c r="P2" s="127"/>
      <c r="Q2" s="127"/>
    </row>
    <row r="3" spans="1:23" x14ac:dyDescent="0.25">
      <c r="B3" s="173" t="s">
        <v>5</v>
      </c>
      <c r="C3" s="173"/>
      <c r="D3" s="175" t="s">
        <v>134</v>
      </c>
      <c r="E3" s="176"/>
      <c r="M3" s="125" t="s">
        <v>96</v>
      </c>
      <c r="N3" s="125"/>
      <c r="O3" s="127">
        <v>45530</v>
      </c>
      <c r="P3" s="128"/>
      <c r="Q3" s="128"/>
    </row>
    <row r="4" spans="1:23" x14ac:dyDescent="0.25">
      <c r="B4" s="174"/>
      <c r="C4" s="174"/>
      <c r="D4" s="177"/>
      <c r="E4" s="177"/>
      <c r="M4" s="125" t="s">
        <v>97</v>
      </c>
      <c r="N4" s="125"/>
      <c r="O4" s="129" t="s">
        <v>135</v>
      </c>
      <c r="P4" s="128"/>
      <c r="Q4" s="128"/>
    </row>
    <row r="5" spans="1:23" x14ac:dyDescent="0.25">
      <c r="B5" s="94"/>
      <c r="C5" s="94"/>
      <c r="D5" s="94"/>
      <c r="E5" s="94"/>
      <c r="M5" s="125" t="s">
        <v>98</v>
      </c>
      <c r="N5" s="125"/>
      <c r="O5" s="127">
        <v>45565</v>
      </c>
      <c r="P5" s="128"/>
      <c r="Q5" s="128"/>
    </row>
    <row r="6" spans="1:23" x14ac:dyDescent="0.25">
      <c r="B6" s="94"/>
      <c r="C6" s="94"/>
      <c r="D6" s="94"/>
      <c r="E6" s="94"/>
      <c r="M6" s="125" t="s">
        <v>105</v>
      </c>
      <c r="N6" s="125"/>
      <c r="O6" s="130">
        <v>45594</v>
      </c>
      <c r="P6" s="131"/>
      <c r="Q6" s="131"/>
    </row>
    <row r="7" spans="1:23" x14ac:dyDescent="0.25">
      <c r="B7" s="94"/>
      <c r="C7" s="94"/>
      <c r="D7" s="94"/>
      <c r="E7" s="94"/>
      <c r="M7" s="125" t="s">
        <v>99</v>
      </c>
      <c r="N7" s="125"/>
      <c r="O7" s="129" t="s">
        <v>135</v>
      </c>
      <c r="P7" s="128"/>
      <c r="Q7" s="128"/>
    </row>
    <row r="8" spans="1:23" x14ac:dyDescent="0.25">
      <c r="N8" s="132"/>
      <c r="O8" s="132"/>
      <c r="P8" s="132"/>
      <c r="Q8" s="132"/>
    </row>
    <row r="9" spans="1:23" x14ac:dyDescent="0.25">
      <c r="A9" s="3" t="s">
        <v>1</v>
      </c>
      <c r="U9" s="4"/>
      <c r="W9" s="4"/>
    </row>
    <row r="10" spans="1:23" ht="28.5" customHeight="1" x14ac:dyDescent="0.25">
      <c r="B10" s="164" t="s">
        <v>160</v>
      </c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U10" s="4"/>
      <c r="W10" s="4"/>
    </row>
    <row r="11" spans="1:23" ht="62.35" customHeight="1" x14ac:dyDescent="0.25">
      <c r="B11" s="164" t="s">
        <v>140</v>
      </c>
      <c r="C11" s="164"/>
      <c r="D11" s="164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U11" s="4"/>
    </row>
    <row r="12" spans="1:23" x14ac:dyDescent="0.25">
      <c r="A12" s="3" t="s">
        <v>104</v>
      </c>
    </row>
    <row r="13" spans="1:23" ht="25.9" customHeight="1" x14ac:dyDescent="0.25">
      <c r="B13" s="126" t="s">
        <v>159</v>
      </c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</row>
    <row r="14" spans="1:23" x14ac:dyDescent="0.25"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</row>
    <row r="15" spans="1:23" x14ac:dyDescent="0.25">
      <c r="A15" s="3" t="s">
        <v>103</v>
      </c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</row>
    <row r="16" spans="1:23" ht="13.5" customHeight="1" x14ac:dyDescent="0.25">
      <c r="B16" s="165" t="s">
        <v>0</v>
      </c>
      <c r="C16" s="146" t="s">
        <v>8</v>
      </c>
      <c r="D16" s="147"/>
      <c r="E16" s="168" t="s">
        <v>2</v>
      </c>
      <c r="F16" s="168"/>
      <c r="G16" s="168"/>
      <c r="H16" s="169" t="s">
        <v>7</v>
      </c>
      <c r="I16" s="169"/>
      <c r="J16" s="168" t="s">
        <v>3</v>
      </c>
      <c r="K16" s="168"/>
      <c r="L16" s="168"/>
      <c r="M16" s="168"/>
      <c r="N16" s="168"/>
      <c r="O16" s="168"/>
      <c r="P16" s="168"/>
      <c r="Q16" s="168"/>
    </row>
    <row r="17" spans="2:26" ht="13.5" customHeight="1" x14ac:dyDescent="0.25">
      <c r="B17" s="166"/>
      <c r="C17" s="148"/>
      <c r="D17" s="149"/>
      <c r="E17" s="168"/>
      <c r="F17" s="168"/>
      <c r="G17" s="168"/>
      <c r="H17" s="169"/>
      <c r="I17" s="169"/>
      <c r="J17" s="137" t="s">
        <v>6</v>
      </c>
      <c r="K17" s="138"/>
      <c r="L17" s="138"/>
      <c r="M17" s="138"/>
      <c r="N17" s="138"/>
      <c r="O17" s="138"/>
      <c r="P17" s="139"/>
      <c r="Q17" s="170" t="s">
        <v>4</v>
      </c>
    </row>
    <row r="18" spans="2:26" ht="13.5" customHeight="1" x14ac:dyDescent="0.25">
      <c r="B18" s="166"/>
      <c r="C18" s="178" t="s">
        <v>9</v>
      </c>
      <c r="D18" s="149"/>
      <c r="E18" s="168"/>
      <c r="F18" s="168"/>
      <c r="G18" s="168"/>
      <c r="H18" s="169"/>
      <c r="I18" s="169"/>
      <c r="J18" s="140"/>
      <c r="K18" s="141"/>
      <c r="L18" s="141"/>
      <c r="M18" s="141"/>
      <c r="N18" s="141"/>
      <c r="O18" s="141"/>
      <c r="P18" s="142"/>
      <c r="Q18" s="171"/>
    </row>
    <row r="19" spans="2:26" x14ac:dyDescent="0.25">
      <c r="B19" s="167"/>
      <c r="C19" s="179"/>
      <c r="D19" s="180"/>
      <c r="E19" s="168"/>
      <c r="F19" s="168"/>
      <c r="G19" s="168"/>
      <c r="H19" s="169"/>
      <c r="I19" s="169"/>
      <c r="J19" s="143"/>
      <c r="K19" s="144"/>
      <c r="L19" s="144"/>
      <c r="M19" s="144"/>
      <c r="N19" s="144"/>
      <c r="O19" s="144"/>
      <c r="P19" s="145"/>
      <c r="Q19" s="172"/>
    </row>
    <row r="20" spans="2:26" ht="135.75" customHeight="1" x14ac:dyDescent="0.25">
      <c r="B20" s="133">
        <v>1</v>
      </c>
      <c r="C20" s="152" t="s">
        <v>136</v>
      </c>
      <c r="D20" s="153"/>
      <c r="E20" s="135" t="s">
        <v>141</v>
      </c>
      <c r="F20" s="136"/>
      <c r="G20" s="136"/>
      <c r="H20" s="135" t="s">
        <v>142</v>
      </c>
      <c r="I20" s="136"/>
      <c r="J20" s="156" t="s">
        <v>153</v>
      </c>
      <c r="K20" s="157"/>
      <c r="L20" s="157"/>
      <c r="M20" s="157"/>
      <c r="N20" s="157"/>
      <c r="O20" s="157"/>
      <c r="P20" s="158"/>
      <c r="Q20" s="207" t="s">
        <v>41</v>
      </c>
    </row>
    <row r="21" spans="2:26" ht="18.75" customHeight="1" x14ac:dyDescent="0.25">
      <c r="B21" s="134"/>
      <c r="C21" s="154"/>
      <c r="D21" s="155"/>
      <c r="E21" s="136"/>
      <c r="F21" s="136"/>
      <c r="G21" s="136"/>
      <c r="H21" s="136"/>
      <c r="I21" s="136"/>
      <c r="J21" s="159"/>
      <c r="K21" s="160"/>
      <c r="L21" s="160"/>
      <c r="M21" s="160"/>
      <c r="N21" s="160"/>
      <c r="O21" s="160"/>
      <c r="P21" s="161"/>
      <c r="Q21" s="208"/>
    </row>
    <row r="22" spans="2:26" ht="139.5" customHeight="1" x14ac:dyDescent="0.25">
      <c r="B22" s="133">
        <v>2</v>
      </c>
      <c r="C22" s="156" t="s">
        <v>137</v>
      </c>
      <c r="D22" s="190"/>
      <c r="E22" s="135" t="s">
        <v>138</v>
      </c>
      <c r="F22" s="136"/>
      <c r="G22" s="136"/>
      <c r="H22" s="135" t="s">
        <v>139</v>
      </c>
      <c r="I22" s="136"/>
      <c r="J22" s="156" t="s">
        <v>154</v>
      </c>
      <c r="K22" s="157"/>
      <c r="L22" s="157"/>
      <c r="M22" s="157"/>
      <c r="N22" s="157"/>
      <c r="O22" s="157"/>
      <c r="P22" s="158"/>
      <c r="Q22" s="162" t="s">
        <v>152</v>
      </c>
    </row>
    <row r="23" spans="2:26" ht="17.350000000000001" customHeight="1" x14ac:dyDescent="0.25">
      <c r="B23" s="134"/>
      <c r="C23" s="150"/>
      <c r="D23" s="151"/>
      <c r="E23" s="136"/>
      <c r="F23" s="136"/>
      <c r="G23" s="136"/>
      <c r="H23" s="136"/>
      <c r="I23" s="136"/>
      <c r="J23" s="159"/>
      <c r="K23" s="160"/>
      <c r="L23" s="160"/>
      <c r="M23" s="160"/>
      <c r="N23" s="160"/>
      <c r="O23" s="160"/>
      <c r="P23" s="161"/>
      <c r="Q23" s="163"/>
    </row>
    <row r="24" spans="2:26" ht="138" customHeight="1" x14ac:dyDescent="0.25">
      <c r="B24" s="133">
        <v>3</v>
      </c>
      <c r="C24" s="156" t="s">
        <v>145</v>
      </c>
      <c r="D24" s="190"/>
      <c r="E24" s="135" t="s">
        <v>143</v>
      </c>
      <c r="F24" s="136"/>
      <c r="G24" s="136"/>
      <c r="H24" s="205" t="s">
        <v>144</v>
      </c>
      <c r="I24" s="206"/>
      <c r="J24" s="156" t="s">
        <v>155</v>
      </c>
      <c r="K24" s="157"/>
      <c r="L24" s="157"/>
      <c r="M24" s="157"/>
      <c r="N24" s="157"/>
      <c r="O24" s="157"/>
      <c r="P24" s="158"/>
      <c r="Q24" s="162" t="s">
        <v>156</v>
      </c>
    </row>
    <row r="25" spans="2:26" ht="19.25" customHeight="1" x14ac:dyDescent="0.25">
      <c r="B25" s="134"/>
      <c r="C25" s="150"/>
      <c r="D25" s="151"/>
      <c r="E25" s="136"/>
      <c r="F25" s="136"/>
      <c r="G25" s="136"/>
      <c r="H25" s="206"/>
      <c r="I25" s="206"/>
      <c r="J25" s="159"/>
      <c r="K25" s="160"/>
      <c r="L25" s="160"/>
      <c r="M25" s="160"/>
      <c r="N25" s="160"/>
      <c r="O25" s="160"/>
      <c r="P25" s="161"/>
      <c r="Q25" s="163"/>
    </row>
    <row r="26" spans="2:26" ht="139.9" customHeight="1" x14ac:dyDescent="0.25">
      <c r="B26" s="133">
        <v>4</v>
      </c>
      <c r="C26" s="156" t="s">
        <v>146</v>
      </c>
      <c r="D26" s="190"/>
      <c r="E26" s="135" t="s">
        <v>147</v>
      </c>
      <c r="F26" s="136"/>
      <c r="G26" s="136"/>
      <c r="H26" s="205" t="s">
        <v>148</v>
      </c>
      <c r="I26" s="206"/>
      <c r="J26" s="156" t="s">
        <v>157</v>
      </c>
      <c r="K26" s="157"/>
      <c r="L26" s="157"/>
      <c r="M26" s="157"/>
      <c r="N26" s="157"/>
      <c r="O26" s="157"/>
      <c r="P26" s="158"/>
      <c r="Q26" s="162" t="s">
        <v>156</v>
      </c>
      <c r="T26" s="92" t="s">
        <v>95</v>
      </c>
      <c r="U26" s="92"/>
      <c r="V26" s="92"/>
      <c r="W26" s="92"/>
      <c r="X26" s="92"/>
      <c r="Y26" s="92"/>
      <c r="Z26" s="92"/>
    </row>
    <row r="27" spans="2:26" ht="16.899999999999999" customHeight="1" x14ac:dyDescent="0.25">
      <c r="B27" s="195"/>
      <c r="C27" s="214"/>
      <c r="D27" s="215"/>
      <c r="E27" s="136"/>
      <c r="F27" s="136"/>
      <c r="G27" s="136"/>
      <c r="H27" s="206"/>
      <c r="I27" s="206"/>
      <c r="J27" s="159"/>
      <c r="K27" s="160"/>
      <c r="L27" s="160"/>
      <c r="M27" s="160"/>
      <c r="N27" s="160"/>
      <c r="O27" s="160"/>
      <c r="P27" s="161"/>
      <c r="Q27" s="209"/>
      <c r="T27" s="92"/>
      <c r="U27" s="92"/>
      <c r="V27" s="92"/>
      <c r="W27" s="92"/>
      <c r="X27" s="92"/>
      <c r="Y27" s="92"/>
      <c r="Z27" s="92"/>
    </row>
    <row r="28" spans="2:26" ht="134.35" customHeight="1" x14ac:dyDescent="0.25">
      <c r="B28" s="196">
        <v>5</v>
      </c>
      <c r="C28" s="212" t="s">
        <v>149</v>
      </c>
      <c r="D28" s="213"/>
      <c r="E28" s="184" t="s">
        <v>150</v>
      </c>
      <c r="F28" s="185"/>
      <c r="G28" s="185"/>
      <c r="H28" s="184" t="s">
        <v>151</v>
      </c>
      <c r="I28" s="185"/>
      <c r="J28" s="156" t="s">
        <v>158</v>
      </c>
      <c r="K28" s="157"/>
      <c r="L28" s="157"/>
      <c r="M28" s="157"/>
      <c r="N28" s="157"/>
      <c r="O28" s="157"/>
      <c r="P28" s="158"/>
      <c r="Q28" s="162" t="s">
        <v>156</v>
      </c>
      <c r="T28" s="92" t="s">
        <v>95</v>
      </c>
      <c r="U28" s="92"/>
      <c r="V28" s="92"/>
      <c r="W28" s="92"/>
      <c r="X28" s="92"/>
      <c r="Y28" s="92"/>
      <c r="Z28" s="92"/>
    </row>
    <row r="29" spans="2:26" ht="17.75" customHeight="1" x14ac:dyDescent="0.25">
      <c r="B29" s="197"/>
      <c r="C29" s="210"/>
      <c r="D29" s="211"/>
      <c r="E29" s="185"/>
      <c r="F29" s="185"/>
      <c r="G29" s="185"/>
      <c r="H29" s="185"/>
      <c r="I29" s="185"/>
      <c r="J29" s="159"/>
      <c r="K29" s="160"/>
      <c r="L29" s="160"/>
      <c r="M29" s="160"/>
      <c r="N29" s="160"/>
      <c r="O29" s="160"/>
      <c r="P29" s="161"/>
      <c r="Q29" s="209"/>
      <c r="T29" s="92"/>
      <c r="U29" s="92"/>
      <c r="V29" s="92"/>
      <c r="W29" s="92"/>
      <c r="X29" s="92"/>
      <c r="Y29" s="92"/>
      <c r="Z29" s="92"/>
    </row>
    <row r="30" spans="2:26" ht="17.25" hidden="1" customHeight="1" x14ac:dyDescent="0.25">
      <c r="B30" s="133">
        <v>5</v>
      </c>
      <c r="C30" s="156"/>
      <c r="D30" s="190"/>
      <c r="E30" s="135"/>
      <c r="F30" s="136"/>
      <c r="G30" s="136"/>
      <c r="H30" s="135"/>
      <c r="I30" s="136"/>
      <c r="J30" s="181"/>
      <c r="K30" s="182"/>
      <c r="L30" s="182"/>
      <c r="M30" s="182"/>
      <c r="N30" s="182"/>
      <c r="O30" s="182"/>
      <c r="P30" s="183"/>
      <c r="Q30" s="186"/>
    </row>
    <row r="31" spans="2:26" ht="17.25" hidden="1" customHeight="1" x14ac:dyDescent="0.25">
      <c r="B31" s="134"/>
      <c r="C31" s="191"/>
      <c r="D31" s="192"/>
      <c r="E31" s="136"/>
      <c r="F31" s="136"/>
      <c r="G31" s="136"/>
      <c r="H31" s="136"/>
      <c r="I31" s="136"/>
      <c r="J31" s="181"/>
      <c r="K31" s="182"/>
      <c r="L31" s="182"/>
      <c r="M31" s="182"/>
      <c r="N31" s="182"/>
      <c r="O31" s="182"/>
      <c r="P31" s="183"/>
      <c r="Q31" s="187"/>
    </row>
    <row r="32" spans="2:26" ht="17.25" hidden="1" customHeight="1" x14ac:dyDescent="0.25">
      <c r="B32" s="134"/>
      <c r="C32" s="191"/>
      <c r="D32" s="192"/>
      <c r="E32" s="136"/>
      <c r="F32" s="136"/>
      <c r="G32" s="136"/>
      <c r="H32" s="136"/>
      <c r="I32" s="136"/>
      <c r="J32" s="181"/>
      <c r="K32" s="182"/>
      <c r="L32" s="182"/>
      <c r="M32" s="182"/>
      <c r="N32" s="182"/>
      <c r="O32" s="182"/>
      <c r="P32" s="183"/>
      <c r="Q32" s="187"/>
    </row>
    <row r="33" spans="2:17" ht="17.25" hidden="1" customHeight="1" x14ac:dyDescent="0.25">
      <c r="B33" s="134"/>
      <c r="C33" s="191"/>
      <c r="D33" s="192"/>
      <c r="E33" s="136"/>
      <c r="F33" s="136"/>
      <c r="G33" s="136"/>
      <c r="H33" s="136"/>
      <c r="I33" s="136"/>
      <c r="J33" s="181"/>
      <c r="K33" s="182"/>
      <c r="L33" s="182"/>
      <c r="M33" s="182"/>
      <c r="N33" s="182"/>
      <c r="O33" s="182"/>
      <c r="P33" s="183"/>
      <c r="Q33" s="187"/>
    </row>
    <row r="34" spans="2:17" ht="17.25" hidden="1" customHeight="1" x14ac:dyDescent="0.25">
      <c r="B34" s="134"/>
      <c r="C34" s="191"/>
      <c r="D34" s="192"/>
      <c r="E34" s="136"/>
      <c r="F34" s="136"/>
      <c r="G34" s="136"/>
      <c r="H34" s="136"/>
      <c r="I34" s="136"/>
      <c r="J34" s="181"/>
      <c r="K34" s="182"/>
      <c r="L34" s="182"/>
      <c r="M34" s="182"/>
      <c r="N34" s="182"/>
      <c r="O34" s="182"/>
      <c r="P34" s="183"/>
      <c r="Q34" s="187"/>
    </row>
    <row r="35" spans="2:17" ht="17.25" hidden="1" customHeight="1" x14ac:dyDescent="0.25">
      <c r="B35" s="134"/>
      <c r="C35" s="191"/>
      <c r="D35" s="192"/>
      <c r="E35" s="136"/>
      <c r="F35" s="136"/>
      <c r="G35" s="136"/>
      <c r="H35" s="136"/>
      <c r="I35" s="136"/>
      <c r="J35" s="181"/>
      <c r="K35" s="182"/>
      <c r="L35" s="182"/>
      <c r="M35" s="182"/>
      <c r="N35" s="182"/>
      <c r="O35" s="182"/>
      <c r="P35" s="183"/>
      <c r="Q35" s="187"/>
    </row>
    <row r="36" spans="2:17" ht="17.25" hidden="1" customHeight="1" x14ac:dyDescent="0.25">
      <c r="B36" s="134"/>
      <c r="C36" s="191"/>
      <c r="D36" s="192"/>
      <c r="E36" s="136"/>
      <c r="F36" s="136"/>
      <c r="G36" s="136"/>
      <c r="H36" s="136"/>
      <c r="I36" s="136"/>
      <c r="J36" s="181"/>
      <c r="K36" s="182"/>
      <c r="L36" s="182"/>
      <c r="M36" s="182"/>
      <c r="N36" s="182"/>
      <c r="O36" s="182"/>
      <c r="P36" s="183"/>
      <c r="Q36" s="187"/>
    </row>
    <row r="37" spans="2:17" ht="17.25" hidden="1" customHeight="1" x14ac:dyDescent="0.25">
      <c r="B37" s="134"/>
      <c r="C37" s="191"/>
      <c r="D37" s="192"/>
      <c r="E37" s="136"/>
      <c r="F37" s="136"/>
      <c r="G37" s="136"/>
      <c r="H37" s="136"/>
      <c r="I37" s="136"/>
      <c r="J37" s="181"/>
      <c r="K37" s="182"/>
      <c r="L37" s="182"/>
      <c r="M37" s="182"/>
      <c r="N37" s="182"/>
      <c r="O37" s="182"/>
      <c r="P37" s="183"/>
      <c r="Q37" s="187"/>
    </row>
    <row r="38" spans="2:17" ht="17.25" hidden="1" customHeight="1" x14ac:dyDescent="0.25">
      <c r="B38" s="134"/>
      <c r="C38" s="191"/>
      <c r="D38" s="192"/>
      <c r="E38" s="136"/>
      <c r="F38" s="136"/>
      <c r="G38" s="136"/>
      <c r="H38" s="136"/>
      <c r="I38" s="136"/>
      <c r="J38" s="181"/>
      <c r="K38" s="182"/>
      <c r="L38" s="182"/>
      <c r="M38" s="182"/>
      <c r="N38" s="182"/>
      <c r="O38" s="182"/>
      <c r="P38" s="183"/>
      <c r="Q38" s="187"/>
    </row>
    <row r="39" spans="2:17" ht="17.25" hidden="1" customHeight="1" x14ac:dyDescent="0.25">
      <c r="B39" s="134"/>
      <c r="C39" s="191"/>
      <c r="D39" s="192"/>
      <c r="E39" s="136"/>
      <c r="F39" s="136"/>
      <c r="G39" s="136"/>
      <c r="H39" s="136"/>
      <c r="I39" s="136"/>
      <c r="J39" s="181"/>
      <c r="K39" s="182"/>
      <c r="L39" s="182"/>
      <c r="M39" s="182"/>
      <c r="N39" s="182"/>
      <c r="O39" s="182"/>
      <c r="P39" s="183"/>
      <c r="Q39" s="187"/>
    </row>
    <row r="40" spans="2:17" ht="17.25" hidden="1" customHeight="1" x14ac:dyDescent="0.25">
      <c r="B40" s="134"/>
      <c r="C40" s="191"/>
      <c r="D40" s="192"/>
      <c r="E40" s="136"/>
      <c r="F40" s="136"/>
      <c r="G40" s="136"/>
      <c r="H40" s="136"/>
      <c r="I40" s="136"/>
      <c r="J40" s="181"/>
      <c r="K40" s="182"/>
      <c r="L40" s="182"/>
      <c r="M40" s="182"/>
      <c r="N40" s="182"/>
      <c r="O40" s="182"/>
      <c r="P40" s="183"/>
      <c r="Q40" s="187"/>
    </row>
    <row r="41" spans="2:17" ht="17.25" hidden="1" customHeight="1" x14ac:dyDescent="0.25">
      <c r="B41" s="134"/>
      <c r="C41" s="150"/>
      <c r="D41" s="151"/>
      <c r="E41" s="136"/>
      <c r="F41" s="136"/>
      <c r="G41" s="136"/>
      <c r="H41" s="136"/>
      <c r="I41" s="136"/>
      <c r="J41" s="181"/>
      <c r="K41" s="182"/>
      <c r="L41" s="182"/>
      <c r="M41" s="182"/>
      <c r="N41" s="182"/>
      <c r="O41" s="182"/>
      <c r="P41" s="183"/>
      <c r="Q41" s="187"/>
    </row>
    <row r="42" spans="2:17" ht="17.25" hidden="1" customHeight="1" x14ac:dyDescent="0.25">
      <c r="B42" s="134"/>
      <c r="C42" s="191"/>
      <c r="D42" s="192"/>
      <c r="E42" s="136"/>
      <c r="F42" s="136"/>
      <c r="G42" s="136"/>
      <c r="H42" s="136"/>
      <c r="I42" s="136"/>
      <c r="J42" s="181"/>
      <c r="K42" s="182"/>
      <c r="L42" s="182"/>
      <c r="M42" s="182"/>
      <c r="N42" s="182"/>
      <c r="O42" s="182"/>
      <c r="P42" s="183"/>
      <c r="Q42" s="187"/>
    </row>
    <row r="43" spans="2:17" ht="17.25" hidden="1" customHeight="1" x14ac:dyDescent="0.25">
      <c r="B43" s="134"/>
      <c r="C43" s="191"/>
      <c r="D43" s="192"/>
      <c r="E43" s="136"/>
      <c r="F43" s="136"/>
      <c r="G43" s="136"/>
      <c r="H43" s="136"/>
      <c r="I43" s="136"/>
      <c r="J43" s="181"/>
      <c r="K43" s="182"/>
      <c r="L43" s="182"/>
      <c r="M43" s="182"/>
      <c r="N43" s="182"/>
      <c r="O43" s="182"/>
      <c r="P43" s="183"/>
      <c r="Q43" s="187"/>
    </row>
    <row r="44" spans="2:17" ht="17.25" hidden="1" customHeight="1" x14ac:dyDescent="0.25">
      <c r="B44" s="195"/>
      <c r="C44" s="193"/>
      <c r="D44" s="194"/>
      <c r="E44" s="136"/>
      <c r="F44" s="136"/>
      <c r="G44" s="136"/>
      <c r="H44" s="136"/>
      <c r="I44" s="136"/>
      <c r="J44" s="181"/>
      <c r="K44" s="182"/>
      <c r="L44" s="182"/>
      <c r="M44" s="182"/>
      <c r="N44" s="182"/>
      <c r="O44" s="182"/>
      <c r="P44" s="183"/>
      <c r="Q44" s="188"/>
    </row>
    <row r="45" spans="2:17" ht="15" hidden="1" customHeight="1" x14ac:dyDescent="0.25">
      <c r="B45" s="133">
        <v>6</v>
      </c>
      <c r="C45" s="156"/>
      <c r="D45" s="158"/>
      <c r="E45" s="189"/>
      <c r="F45" s="202"/>
      <c r="G45" s="190"/>
      <c r="H45" s="189"/>
      <c r="I45" s="190"/>
      <c r="J45" s="181"/>
      <c r="K45" s="182"/>
      <c r="L45" s="182"/>
      <c r="M45" s="182"/>
      <c r="N45" s="182"/>
      <c r="O45" s="182"/>
      <c r="P45" s="183"/>
      <c r="Q45" s="186"/>
    </row>
    <row r="46" spans="2:17" ht="15" hidden="1" customHeight="1" x14ac:dyDescent="0.25">
      <c r="B46" s="134"/>
      <c r="C46" s="198"/>
      <c r="D46" s="199"/>
      <c r="E46" s="191"/>
      <c r="F46" s="203"/>
      <c r="G46" s="192"/>
      <c r="H46" s="191"/>
      <c r="I46" s="192"/>
      <c r="J46" s="181"/>
      <c r="K46" s="182"/>
      <c r="L46" s="182"/>
      <c r="M46" s="182"/>
      <c r="N46" s="182"/>
      <c r="O46" s="182"/>
      <c r="P46" s="183"/>
      <c r="Q46" s="187"/>
    </row>
    <row r="47" spans="2:17" ht="15" hidden="1" customHeight="1" x14ac:dyDescent="0.25">
      <c r="B47" s="134"/>
      <c r="C47" s="198"/>
      <c r="D47" s="199"/>
      <c r="E47" s="191"/>
      <c r="F47" s="203"/>
      <c r="G47" s="192"/>
      <c r="H47" s="191"/>
      <c r="I47" s="192"/>
      <c r="J47" s="181"/>
      <c r="K47" s="182"/>
      <c r="L47" s="182"/>
      <c r="M47" s="182"/>
      <c r="N47" s="182"/>
      <c r="O47" s="182"/>
      <c r="P47" s="183"/>
      <c r="Q47" s="187"/>
    </row>
    <row r="48" spans="2:17" ht="15" hidden="1" customHeight="1" x14ac:dyDescent="0.25">
      <c r="B48" s="134"/>
      <c r="C48" s="198"/>
      <c r="D48" s="199"/>
      <c r="E48" s="191"/>
      <c r="F48" s="203"/>
      <c r="G48" s="192"/>
      <c r="H48" s="191"/>
      <c r="I48" s="192"/>
      <c r="J48" s="181"/>
      <c r="K48" s="182"/>
      <c r="L48" s="182"/>
      <c r="M48" s="182"/>
      <c r="N48" s="182"/>
      <c r="O48" s="182"/>
      <c r="P48" s="183"/>
      <c r="Q48" s="187"/>
    </row>
    <row r="49" spans="2:17" ht="15" hidden="1" customHeight="1" x14ac:dyDescent="0.25">
      <c r="B49" s="134"/>
      <c r="C49" s="198"/>
      <c r="D49" s="199"/>
      <c r="E49" s="191"/>
      <c r="F49" s="203"/>
      <c r="G49" s="192"/>
      <c r="H49" s="191"/>
      <c r="I49" s="192"/>
      <c r="J49" s="181"/>
      <c r="K49" s="182"/>
      <c r="L49" s="182"/>
      <c r="M49" s="182"/>
      <c r="N49" s="182"/>
      <c r="O49" s="182"/>
      <c r="P49" s="183"/>
      <c r="Q49" s="187"/>
    </row>
    <row r="50" spans="2:17" ht="15" hidden="1" customHeight="1" x14ac:dyDescent="0.25">
      <c r="B50" s="134"/>
      <c r="C50" s="198"/>
      <c r="D50" s="199"/>
      <c r="E50" s="191"/>
      <c r="F50" s="203"/>
      <c r="G50" s="192"/>
      <c r="H50" s="191"/>
      <c r="I50" s="192"/>
      <c r="J50" s="181"/>
      <c r="K50" s="182"/>
      <c r="L50" s="182"/>
      <c r="M50" s="182"/>
      <c r="N50" s="182"/>
      <c r="O50" s="182"/>
      <c r="P50" s="183"/>
      <c r="Q50" s="187"/>
    </row>
    <row r="51" spans="2:17" ht="15" hidden="1" customHeight="1" x14ac:dyDescent="0.25">
      <c r="B51" s="134"/>
      <c r="C51" s="198"/>
      <c r="D51" s="199"/>
      <c r="E51" s="191"/>
      <c r="F51" s="203"/>
      <c r="G51" s="192"/>
      <c r="H51" s="191"/>
      <c r="I51" s="192"/>
      <c r="J51" s="181"/>
      <c r="K51" s="182"/>
      <c r="L51" s="182"/>
      <c r="M51" s="182"/>
      <c r="N51" s="182"/>
      <c r="O51" s="182"/>
      <c r="P51" s="183"/>
      <c r="Q51" s="187"/>
    </row>
    <row r="52" spans="2:17" ht="15" hidden="1" customHeight="1" x14ac:dyDescent="0.25">
      <c r="B52" s="134"/>
      <c r="C52" s="198"/>
      <c r="D52" s="199"/>
      <c r="E52" s="191"/>
      <c r="F52" s="203"/>
      <c r="G52" s="192"/>
      <c r="H52" s="191"/>
      <c r="I52" s="192"/>
      <c r="J52" s="181"/>
      <c r="K52" s="182"/>
      <c r="L52" s="182"/>
      <c r="M52" s="182"/>
      <c r="N52" s="182"/>
      <c r="O52" s="182"/>
      <c r="P52" s="183"/>
      <c r="Q52" s="187"/>
    </row>
    <row r="53" spans="2:17" ht="15" hidden="1" customHeight="1" x14ac:dyDescent="0.25">
      <c r="B53" s="134"/>
      <c r="C53" s="198"/>
      <c r="D53" s="199"/>
      <c r="E53" s="191"/>
      <c r="F53" s="203"/>
      <c r="G53" s="192"/>
      <c r="H53" s="191"/>
      <c r="I53" s="192"/>
      <c r="J53" s="181"/>
      <c r="K53" s="182"/>
      <c r="L53" s="182"/>
      <c r="M53" s="182"/>
      <c r="N53" s="182"/>
      <c r="O53" s="182"/>
      <c r="P53" s="183"/>
      <c r="Q53" s="187"/>
    </row>
    <row r="54" spans="2:17" ht="15" hidden="1" customHeight="1" x14ac:dyDescent="0.25">
      <c r="B54" s="134"/>
      <c r="C54" s="198"/>
      <c r="D54" s="199"/>
      <c r="E54" s="191"/>
      <c r="F54" s="203"/>
      <c r="G54" s="192"/>
      <c r="H54" s="191"/>
      <c r="I54" s="192"/>
      <c r="J54" s="181"/>
      <c r="K54" s="182"/>
      <c r="L54" s="182"/>
      <c r="M54" s="182"/>
      <c r="N54" s="182"/>
      <c r="O54" s="182"/>
      <c r="P54" s="183"/>
      <c r="Q54" s="187"/>
    </row>
    <row r="55" spans="2:17" ht="15" hidden="1" customHeight="1" x14ac:dyDescent="0.25">
      <c r="B55" s="134"/>
      <c r="C55" s="200"/>
      <c r="D55" s="201"/>
      <c r="E55" s="191"/>
      <c r="F55" s="203"/>
      <c r="G55" s="192"/>
      <c r="H55" s="191"/>
      <c r="I55" s="192"/>
      <c r="J55" s="181"/>
      <c r="K55" s="182"/>
      <c r="L55" s="182"/>
      <c r="M55" s="182"/>
      <c r="N55" s="182"/>
      <c r="O55" s="182"/>
      <c r="P55" s="183"/>
      <c r="Q55" s="187"/>
    </row>
    <row r="56" spans="2:17" ht="15" hidden="1" customHeight="1" x14ac:dyDescent="0.25">
      <c r="B56" s="134"/>
      <c r="C56" s="150"/>
      <c r="D56" s="151"/>
      <c r="E56" s="191"/>
      <c r="F56" s="203"/>
      <c r="G56" s="192"/>
      <c r="H56" s="191"/>
      <c r="I56" s="192"/>
      <c r="J56" s="181"/>
      <c r="K56" s="182"/>
      <c r="L56" s="182"/>
      <c r="M56" s="182"/>
      <c r="N56" s="182"/>
      <c r="O56" s="182"/>
      <c r="P56" s="183"/>
      <c r="Q56" s="187"/>
    </row>
    <row r="57" spans="2:17" ht="15" hidden="1" customHeight="1" x14ac:dyDescent="0.25">
      <c r="B57" s="134"/>
      <c r="C57" s="191"/>
      <c r="D57" s="192"/>
      <c r="E57" s="191"/>
      <c r="F57" s="203"/>
      <c r="G57" s="192"/>
      <c r="H57" s="191"/>
      <c r="I57" s="192"/>
      <c r="J57" s="181"/>
      <c r="K57" s="182"/>
      <c r="L57" s="182"/>
      <c r="M57" s="182"/>
      <c r="N57" s="182"/>
      <c r="O57" s="182"/>
      <c r="P57" s="183"/>
      <c r="Q57" s="187"/>
    </row>
    <row r="58" spans="2:17" ht="15" hidden="1" customHeight="1" x14ac:dyDescent="0.25">
      <c r="B58" s="134"/>
      <c r="C58" s="191"/>
      <c r="D58" s="192"/>
      <c r="E58" s="191"/>
      <c r="F58" s="203"/>
      <c r="G58" s="192"/>
      <c r="H58" s="191"/>
      <c r="I58" s="192"/>
      <c r="J58" s="181"/>
      <c r="K58" s="182"/>
      <c r="L58" s="182"/>
      <c r="M58" s="182"/>
      <c r="N58" s="182"/>
      <c r="O58" s="182"/>
      <c r="P58" s="183"/>
      <c r="Q58" s="187"/>
    </row>
    <row r="59" spans="2:17" ht="15" hidden="1" customHeight="1" x14ac:dyDescent="0.25">
      <c r="B59" s="195"/>
      <c r="C59" s="193"/>
      <c r="D59" s="194"/>
      <c r="E59" s="193"/>
      <c r="F59" s="204"/>
      <c r="G59" s="194"/>
      <c r="H59" s="193"/>
      <c r="I59" s="194"/>
      <c r="J59" s="181"/>
      <c r="K59" s="182"/>
      <c r="L59" s="182"/>
      <c r="M59" s="182"/>
      <c r="N59" s="182"/>
      <c r="O59" s="182"/>
      <c r="P59" s="183"/>
      <c r="Q59" s="188"/>
    </row>
  </sheetData>
  <mergeCells count="74">
    <mergeCell ref="Q20:Q21"/>
    <mergeCell ref="C22:D22"/>
    <mergeCell ref="E22:G23"/>
    <mergeCell ref="E30:G44"/>
    <mergeCell ref="C25:D25"/>
    <mergeCell ref="C30:D40"/>
    <mergeCell ref="C41:D44"/>
    <mergeCell ref="Q28:Q29"/>
    <mergeCell ref="C29:D29"/>
    <mergeCell ref="C28:D28"/>
    <mergeCell ref="J24:P25"/>
    <mergeCell ref="J28:P29"/>
    <mergeCell ref="H26:I27"/>
    <mergeCell ref="J26:P27"/>
    <mergeCell ref="Q26:Q27"/>
    <mergeCell ref="C27:D27"/>
    <mergeCell ref="B24:B25"/>
    <mergeCell ref="E24:G25"/>
    <mergeCell ref="B30:B44"/>
    <mergeCell ref="B28:B29"/>
    <mergeCell ref="Q45:Q59"/>
    <mergeCell ref="C45:D55"/>
    <mergeCell ref="C56:D59"/>
    <mergeCell ref="E45:G59"/>
    <mergeCell ref="H24:I25"/>
    <mergeCell ref="Q24:Q25"/>
    <mergeCell ref="C24:D24"/>
    <mergeCell ref="B45:B59"/>
    <mergeCell ref="B26:B27"/>
    <mergeCell ref="C26:D26"/>
    <mergeCell ref="E26:G27"/>
    <mergeCell ref="J30:P44"/>
    <mergeCell ref="J45:P59"/>
    <mergeCell ref="H28:I29"/>
    <mergeCell ref="H30:I44"/>
    <mergeCell ref="E28:G29"/>
    <mergeCell ref="Q30:Q44"/>
    <mergeCell ref="H45:I59"/>
    <mergeCell ref="O2:Q2"/>
    <mergeCell ref="O3:Q3"/>
    <mergeCell ref="O4:Q4"/>
    <mergeCell ref="Q22:Q23"/>
    <mergeCell ref="B10:Q10"/>
    <mergeCell ref="B11:Q11"/>
    <mergeCell ref="B16:B19"/>
    <mergeCell ref="E16:G19"/>
    <mergeCell ref="H16:I19"/>
    <mergeCell ref="J16:Q16"/>
    <mergeCell ref="Q17:Q19"/>
    <mergeCell ref="B3:C4"/>
    <mergeCell ref="D3:E4"/>
    <mergeCell ref="B20:B21"/>
    <mergeCell ref="H20:I21"/>
    <mergeCell ref="C18:D19"/>
    <mergeCell ref="B22:B23"/>
    <mergeCell ref="H22:I23"/>
    <mergeCell ref="J17:P19"/>
    <mergeCell ref="C16:D17"/>
    <mergeCell ref="C23:D23"/>
    <mergeCell ref="E20:G21"/>
    <mergeCell ref="C20:D20"/>
    <mergeCell ref="C21:D21"/>
    <mergeCell ref="J20:P21"/>
    <mergeCell ref="J22:P23"/>
    <mergeCell ref="M3:N3"/>
    <mergeCell ref="B13:Q13"/>
    <mergeCell ref="O5:Q5"/>
    <mergeCell ref="O7:Q7"/>
    <mergeCell ref="M7:N7"/>
    <mergeCell ref="M5:N5"/>
    <mergeCell ref="M4:N4"/>
    <mergeCell ref="M6:N6"/>
    <mergeCell ref="O6:Q6"/>
    <mergeCell ref="N8:Q8"/>
  </mergeCells>
  <phoneticPr fontId="1"/>
  <pageMargins left="0.39370078740157483" right="0.39370078740157483" top="0.39370078740157483" bottom="0.39370078740157483" header="0.31496062992125984" footer="0.31496062992125984"/>
  <pageSetup paperSize="8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5:P25"/>
  <sheetViews>
    <sheetView showGridLines="0" workbookViewId="0">
      <selection activeCell="L31" sqref="L31"/>
    </sheetView>
  </sheetViews>
  <sheetFormatPr defaultColWidth="9.0703125" defaultRowHeight="12.75" x14ac:dyDescent="0.25"/>
  <cols>
    <col min="1" max="3" width="9.0703125" style="5"/>
    <col min="4" max="4" width="6.7109375" style="5" customWidth="1"/>
    <col min="5" max="5" width="16.7109375" style="5" customWidth="1"/>
    <col min="6" max="6" width="12.7109375" style="5" customWidth="1"/>
    <col min="7" max="7" width="18.7109375" style="5" customWidth="1"/>
    <col min="8" max="8" width="10.7109375" style="5" customWidth="1"/>
    <col min="9" max="9" width="7.7109375" style="5" customWidth="1"/>
    <col min="10" max="10" width="10.7109375" style="5" customWidth="1"/>
    <col min="11" max="11" width="7.7109375" style="5" customWidth="1"/>
    <col min="12" max="12" width="15.7109375" style="5" customWidth="1"/>
    <col min="13" max="16384" width="9.0703125" style="5"/>
  </cols>
  <sheetData>
    <row r="5" spans="4:16" x14ac:dyDescent="0.25">
      <c r="D5" s="216" t="s">
        <v>52</v>
      </c>
      <c r="E5" s="216"/>
      <c r="F5" s="216"/>
      <c r="G5" s="216"/>
      <c r="H5" s="216"/>
      <c r="I5" s="216"/>
      <c r="J5" s="216"/>
      <c r="K5" s="216"/>
    </row>
    <row r="6" spans="4:16" ht="13.5" customHeight="1" x14ac:dyDescent="0.25">
      <c r="D6" s="224" t="s">
        <v>27</v>
      </c>
      <c r="E6" s="220" t="s">
        <v>26</v>
      </c>
      <c r="F6" s="222"/>
      <c r="G6" s="220" t="s">
        <v>25</v>
      </c>
      <c r="H6" s="247" t="s">
        <v>24</v>
      </c>
      <c r="I6" s="248"/>
      <c r="J6" s="245" t="s">
        <v>23</v>
      </c>
      <c r="K6" s="246"/>
      <c r="L6" s="239" t="s">
        <v>107</v>
      </c>
    </row>
    <row r="7" spans="4:16" x14ac:dyDescent="0.25">
      <c r="D7" s="225"/>
      <c r="E7" s="221"/>
      <c r="F7" s="223"/>
      <c r="G7" s="221"/>
      <c r="H7" s="22" t="s">
        <v>43</v>
      </c>
      <c r="I7" s="24" t="s">
        <v>44</v>
      </c>
      <c r="J7" s="25" t="s">
        <v>43</v>
      </c>
      <c r="K7" s="23" t="s">
        <v>44</v>
      </c>
      <c r="L7" s="240"/>
    </row>
    <row r="8" spans="4:16" ht="25.5" x14ac:dyDescent="0.25">
      <c r="D8" s="6">
        <v>1</v>
      </c>
      <c r="E8" s="218" t="s">
        <v>20</v>
      </c>
      <c r="F8" s="218"/>
      <c r="G8" s="7" t="s">
        <v>22</v>
      </c>
      <c r="H8" s="13">
        <v>616</v>
      </c>
      <c r="I8" s="14" t="s">
        <v>41</v>
      </c>
      <c r="J8" s="17">
        <v>616.1</v>
      </c>
      <c r="K8" s="14" t="s">
        <v>41</v>
      </c>
      <c r="L8" s="241" t="s">
        <v>109</v>
      </c>
    </row>
    <row r="9" spans="4:16" ht="25.5" x14ac:dyDescent="0.25">
      <c r="D9" s="6">
        <v>2</v>
      </c>
      <c r="E9" s="12" t="s">
        <v>19</v>
      </c>
      <c r="F9" s="6" t="s">
        <v>18</v>
      </c>
      <c r="G9" s="8" t="s">
        <v>17</v>
      </c>
      <c r="H9" s="13">
        <v>1849.5</v>
      </c>
      <c r="I9" s="14" t="s">
        <v>41</v>
      </c>
      <c r="J9" s="17">
        <v>1848.9</v>
      </c>
      <c r="K9" s="14" t="s">
        <v>41</v>
      </c>
      <c r="L9" s="242"/>
    </row>
    <row r="10" spans="4:16" ht="13.5" customHeight="1" x14ac:dyDescent="0.25">
      <c r="D10" s="229">
        <v>3</v>
      </c>
      <c r="E10" s="226" t="s">
        <v>21</v>
      </c>
      <c r="F10" s="6" t="s">
        <v>15</v>
      </c>
      <c r="G10" s="9"/>
      <c r="H10" s="13">
        <v>1704.6</v>
      </c>
      <c r="I10" s="21"/>
      <c r="J10" s="17">
        <v>1806.8</v>
      </c>
      <c r="K10" s="21"/>
      <c r="L10" s="242"/>
    </row>
    <row r="11" spans="4:16" x14ac:dyDescent="0.25">
      <c r="D11" s="230"/>
      <c r="E11" s="227"/>
      <c r="F11" s="6" t="s">
        <v>14</v>
      </c>
      <c r="G11" s="9"/>
      <c r="H11" s="13">
        <v>1858.5</v>
      </c>
      <c r="I11" s="21"/>
      <c r="J11" s="17">
        <v>1849.2</v>
      </c>
      <c r="K11" s="21"/>
      <c r="L11" s="242"/>
    </row>
    <row r="12" spans="4:16" ht="25.9" thickBot="1" x14ac:dyDescent="0.3">
      <c r="D12" s="230"/>
      <c r="E12" s="227"/>
      <c r="F12" s="122" t="s">
        <v>13</v>
      </c>
      <c r="G12" s="98" t="s">
        <v>12</v>
      </c>
      <c r="H12" s="112" t="s">
        <v>110</v>
      </c>
      <c r="I12" s="123" t="s">
        <v>132</v>
      </c>
      <c r="J12" s="113" t="s">
        <v>111</v>
      </c>
      <c r="K12" s="123" t="s">
        <v>132</v>
      </c>
      <c r="L12" s="242"/>
      <c r="M12" s="10"/>
      <c r="N12" s="10"/>
      <c r="O12" s="10"/>
      <c r="P12" s="10"/>
    </row>
    <row r="13" spans="4:16" ht="27" customHeight="1" x14ac:dyDescent="0.25">
      <c r="D13" s="99">
        <v>1</v>
      </c>
      <c r="E13" s="219" t="s">
        <v>20</v>
      </c>
      <c r="F13" s="219"/>
      <c r="G13" s="100"/>
      <c r="H13" s="109">
        <v>628</v>
      </c>
      <c r="I13" s="101"/>
      <c r="J13" s="110">
        <v>624</v>
      </c>
      <c r="K13" s="101"/>
      <c r="L13" s="243" t="s">
        <v>131</v>
      </c>
    </row>
    <row r="14" spans="4:16" ht="25.5" x14ac:dyDescent="0.25">
      <c r="D14" s="6">
        <v>2</v>
      </c>
      <c r="E14" s="12" t="s">
        <v>19</v>
      </c>
      <c r="F14" s="6" t="s">
        <v>18</v>
      </c>
      <c r="G14" s="8" t="s">
        <v>17</v>
      </c>
      <c r="H14" s="13">
        <v>1847.8</v>
      </c>
      <c r="I14" s="18" t="s">
        <v>42</v>
      </c>
      <c r="J14" s="17">
        <v>1851.6</v>
      </c>
      <c r="K14" s="14" t="s">
        <v>41</v>
      </c>
      <c r="L14" s="242"/>
    </row>
    <row r="15" spans="4:16" x14ac:dyDescent="0.25">
      <c r="D15" s="229">
        <v>3</v>
      </c>
      <c r="E15" s="226" t="s">
        <v>16</v>
      </c>
      <c r="F15" s="6" t="s">
        <v>15</v>
      </c>
      <c r="G15" s="9"/>
      <c r="H15" s="13">
        <v>1801.7</v>
      </c>
      <c r="I15" s="21"/>
      <c r="J15" s="17">
        <v>1828.3</v>
      </c>
      <c r="K15" s="21"/>
      <c r="L15" s="242"/>
    </row>
    <row r="16" spans="4:16" x14ac:dyDescent="0.25">
      <c r="D16" s="230"/>
      <c r="E16" s="227"/>
      <c r="F16" s="6" t="s">
        <v>14</v>
      </c>
      <c r="G16" s="11"/>
      <c r="H16" s="13">
        <v>1833.3</v>
      </c>
      <c r="I16" s="21"/>
      <c r="J16" s="17">
        <v>1834.3</v>
      </c>
      <c r="K16" s="21"/>
      <c r="L16" s="242"/>
    </row>
    <row r="17" spans="4:16" ht="25.9" thickBot="1" x14ac:dyDescent="0.3">
      <c r="D17" s="231"/>
      <c r="E17" s="228"/>
      <c r="F17" s="102" t="s">
        <v>13</v>
      </c>
      <c r="G17" s="103" t="s">
        <v>12</v>
      </c>
      <c r="H17" s="115" t="s">
        <v>112</v>
      </c>
      <c r="I17" s="124" t="s">
        <v>132</v>
      </c>
      <c r="J17" s="105" t="s">
        <v>113</v>
      </c>
      <c r="K17" s="106" t="s">
        <v>41</v>
      </c>
      <c r="L17" s="244"/>
      <c r="M17" s="10"/>
      <c r="N17" s="10"/>
      <c r="O17" s="10"/>
      <c r="P17" s="10"/>
    </row>
    <row r="18" spans="4:16" ht="27" customHeight="1" x14ac:dyDescent="0.25">
      <c r="D18" s="37">
        <v>1</v>
      </c>
      <c r="E18" s="238" t="s">
        <v>20</v>
      </c>
      <c r="F18" s="238"/>
      <c r="G18" s="107"/>
      <c r="H18" s="111">
        <v>634</v>
      </c>
      <c r="I18" s="108"/>
      <c r="J18" s="234"/>
      <c r="K18" s="235"/>
      <c r="L18" s="242" t="s">
        <v>108</v>
      </c>
    </row>
    <row r="19" spans="4:16" ht="25.5" x14ac:dyDescent="0.25">
      <c r="D19" s="6">
        <v>2</v>
      </c>
      <c r="E19" s="12" t="s">
        <v>19</v>
      </c>
      <c r="F19" s="6" t="s">
        <v>18</v>
      </c>
      <c r="G19" s="8" t="s">
        <v>17</v>
      </c>
      <c r="H19" s="13">
        <v>1849.6</v>
      </c>
      <c r="I19" s="18" t="s">
        <v>41</v>
      </c>
      <c r="J19" s="234"/>
      <c r="K19" s="235"/>
      <c r="L19" s="242"/>
    </row>
    <row r="20" spans="4:16" x14ac:dyDescent="0.25">
      <c r="D20" s="229">
        <v>3</v>
      </c>
      <c r="E20" s="226" t="s">
        <v>16</v>
      </c>
      <c r="F20" s="6" t="s">
        <v>15</v>
      </c>
      <c r="G20" s="9"/>
      <c r="H20" s="13">
        <v>1816.6</v>
      </c>
      <c r="I20" s="21"/>
      <c r="J20" s="234"/>
      <c r="K20" s="235"/>
      <c r="L20" s="242"/>
    </row>
    <row r="21" spans="4:16" x14ac:dyDescent="0.25">
      <c r="D21" s="230"/>
      <c r="E21" s="227"/>
      <c r="F21" s="6" t="s">
        <v>14</v>
      </c>
      <c r="G21" s="11"/>
      <c r="H21" s="13">
        <v>1815.7</v>
      </c>
      <c r="I21" s="21"/>
      <c r="J21" s="234"/>
      <c r="K21" s="235"/>
      <c r="L21" s="242"/>
    </row>
    <row r="22" spans="4:16" ht="25.9" thickBot="1" x14ac:dyDescent="0.3">
      <c r="D22" s="231"/>
      <c r="E22" s="228"/>
      <c r="F22" s="102" t="s">
        <v>13</v>
      </c>
      <c r="G22" s="103" t="s">
        <v>12</v>
      </c>
      <c r="H22" s="114" t="s">
        <v>114</v>
      </c>
      <c r="I22" s="104" t="s">
        <v>41</v>
      </c>
      <c r="J22" s="236"/>
      <c r="K22" s="237"/>
      <c r="L22" s="244"/>
      <c r="M22" s="10"/>
      <c r="N22" s="10"/>
      <c r="O22" s="10"/>
      <c r="P22" s="10"/>
    </row>
    <row r="23" spans="4:16" ht="27" customHeight="1" x14ac:dyDescent="0.25">
      <c r="D23" s="37">
        <v>4</v>
      </c>
      <c r="E23" s="238" t="s">
        <v>11</v>
      </c>
      <c r="F23" s="238"/>
      <c r="G23" s="118" t="s">
        <v>129</v>
      </c>
      <c r="H23" s="119">
        <v>1.96</v>
      </c>
      <c r="I23" s="120" t="s">
        <v>41</v>
      </c>
      <c r="J23" s="116">
        <v>1.59</v>
      </c>
      <c r="K23" s="117" t="s">
        <v>41</v>
      </c>
      <c r="L23" s="232"/>
    </row>
    <row r="24" spans="4:16" ht="27" customHeight="1" x14ac:dyDescent="0.25">
      <c r="D24" s="6">
        <v>5</v>
      </c>
      <c r="E24" s="218" t="s">
        <v>126</v>
      </c>
      <c r="F24" s="218"/>
      <c r="G24" s="7" t="s">
        <v>130</v>
      </c>
      <c r="H24" s="15">
        <v>3.51</v>
      </c>
      <c r="I24" s="19" t="s">
        <v>41</v>
      </c>
      <c r="J24" s="20">
        <v>3.1</v>
      </c>
      <c r="K24" s="16" t="s">
        <v>41</v>
      </c>
      <c r="L24" s="233"/>
    </row>
    <row r="25" spans="4:16" x14ac:dyDescent="0.25">
      <c r="E25" s="217" t="s">
        <v>10</v>
      </c>
      <c r="F25" s="217"/>
      <c r="G25" s="217"/>
      <c r="H25" s="217"/>
      <c r="I25" s="217"/>
      <c r="J25" s="217"/>
      <c r="K25" s="217"/>
    </row>
  </sheetData>
  <mergeCells count="24">
    <mergeCell ref="L23:L24"/>
    <mergeCell ref="J18:K22"/>
    <mergeCell ref="E23:F23"/>
    <mergeCell ref="L6:L7"/>
    <mergeCell ref="L8:L12"/>
    <mergeCell ref="L13:L17"/>
    <mergeCell ref="E18:F18"/>
    <mergeCell ref="L18:L22"/>
    <mergeCell ref="J6:K6"/>
    <mergeCell ref="H6:I6"/>
    <mergeCell ref="E20:E22"/>
    <mergeCell ref="D5:K5"/>
    <mergeCell ref="E25:K25"/>
    <mergeCell ref="E24:F24"/>
    <mergeCell ref="E13:F13"/>
    <mergeCell ref="G6:G7"/>
    <mergeCell ref="E6:F7"/>
    <mergeCell ref="D6:D7"/>
    <mergeCell ref="E15:E17"/>
    <mergeCell ref="D15:D17"/>
    <mergeCell ref="E10:E12"/>
    <mergeCell ref="D10:D12"/>
    <mergeCell ref="E8:F8"/>
    <mergeCell ref="D20:D22"/>
  </mergeCells>
  <phoneticPr fontId="1"/>
  <pageMargins left="0.7" right="0.7" top="0.75" bottom="0.75" header="0.3" footer="0.3"/>
  <pageSetup paperSize="9" orientation="portrait" r:id="rId1"/>
  <ignoredErrors>
    <ignoredError sqref="H12 H17 J12 J17 H22" numberStoredAsText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5:J11"/>
  <sheetViews>
    <sheetView showGridLines="0" workbookViewId="0">
      <selection activeCell="L20" sqref="L20"/>
    </sheetView>
  </sheetViews>
  <sheetFormatPr defaultColWidth="9.0703125" defaultRowHeight="12.75" x14ac:dyDescent="0.25"/>
  <cols>
    <col min="1" max="3" width="9.0703125" style="5"/>
    <col min="4" max="4" width="6.7109375" style="5" customWidth="1"/>
    <col min="5" max="5" width="25.7109375" style="5" customWidth="1"/>
    <col min="6" max="6" width="21.7109375" style="5" customWidth="1"/>
    <col min="7" max="7" width="10.7109375" style="5" customWidth="1"/>
    <col min="8" max="8" width="7.7109375" style="5" customWidth="1"/>
    <col min="9" max="9" width="10.7109375" style="5" customWidth="1"/>
    <col min="10" max="10" width="7.7109375" style="5" customWidth="1"/>
    <col min="11" max="16384" width="9.0703125" style="5"/>
  </cols>
  <sheetData>
    <row r="5" spans="4:10" x14ac:dyDescent="0.25">
      <c r="D5" s="216" t="s">
        <v>52</v>
      </c>
      <c r="E5" s="216"/>
      <c r="F5" s="216"/>
      <c r="G5" s="216"/>
      <c r="H5" s="216"/>
      <c r="I5" s="216"/>
      <c r="J5" s="216"/>
    </row>
    <row r="6" spans="4:10" ht="13.5" customHeight="1" x14ac:dyDescent="0.25">
      <c r="D6" s="224" t="s">
        <v>27</v>
      </c>
      <c r="E6" s="224" t="s">
        <v>26</v>
      </c>
      <c r="F6" s="220" t="s">
        <v>25</v>
      </c>
      <c r="G6" s="247" t="s">
        <v>24</v>
      </c>
      <c r="H6" s="246"/>
      <c r="I6" s="245" t="s">
        <v>23</v>
      </c>
      <c r="J6" s="246"/>
    </row>
    <row r="7" spans="4:10" x14ac:dyDescent="0.25">
      <c r="D7" s="225"/>
      <c r="E7" s="249"/>
      <c r="F7" s="221"/>
      <c r="G7" s="22" t="s">
        <v>43</v>
      </c>
      <c r="H7" s="24" t="s">
        <v>44</v>
      </c>
      <c r="I7" s="25" t="s">
        <v>43</v>
      </c>
      <c r="J7" s="23" t="s">
        <v>44</v>
      </c>
    </row>
    <row r="8" spans="4:10" ht="27" customHeight="1" x14ac:dyDescent="0.25">
      <c r="D8" s="6" t="s">
        <v>30</v>
      </c>
      <c r="E8" s="12" t="s">
        <v>28</v>
      </c>
      <c r="F8" s="7" t="s">
        <v>34</v>
      </c>
      <c r="G8" s="26">
        <v>1656</v>
      </c>
      <c r="H8" s="27" t="s">
        <v>45</v>
      </c>
      <c r="I8" s="28">
        <v>1644</v>
      </c>
      <c r="J8" s="27" t="s">
        <v>45</v>
      </c>
    </row>
    <row r="9" spans="4:10" ht="27" customHeight="1" x14ac:dyDescent="0.25">
      <c r="D9" s="6" t="s">
        <v>31</v>
      </c>
      <c r="E9" s="12" t="s">
        <v>29</v>
      </c>
      <c r="F9" s="8" t="s">
        <v>35</v>
      </c>
      <c r="G9" s="26">
        <v>0</v>
      </c>
      <c r="H9" s="27" t="s">
        <v>45</v>
      </c>
      <c r="I9" s="28">
        <v>0</v>
      </c>
      <c r="J9" s="27" t="s">
        <v>45</v>
      </c>
    </row>
    <row r="10" spans="4:10" ht="27" customHeight="1" x14ac:dyDescent="0.25">
      <c r="D10" s="6" t="s">
        <v>32</v>
      </c>
      <c r="E10" s="12" t="s">
        <v>37</v>
      </c>
      <c r="F10" s="8" t="s">
        <v>35</v>
      </c>
      <c r="G10" s="26">
        <v>0</v>
      </c>
      <c r="H10" s="27" t="s">
        <v>45</v>
      </c>
      <c r="I10" s="28">
        <v>0</v>
      </c>
      <c r="J10" s="27" t="s">
        <v>45</v>
      </c>
    </row>
    <row r="11" spans="4:10" ht="27" customHeight="1" x14ac:dyDescent="0.25">
      <c r="D11" s="6" t="s">
        <v>33</v>
      </c>
      <c r="E11" s="12" t="s">
        <v>38</v>
      </c>
      <c r="F11" s="7" t="s">
        <v>36</v>
      </c>
      <c r="G11" s="15" t="s">
        <v>39</v>
      </c>
      <c r="H11" s="16" t="s">
        <v>45</v>
      </c>
      <c r="I11" s="20" t="s">
        <v>40</v>
      </c>
      <c r="J11" s="16" t="s">
        <v>45</v>
      </c>
    </row>
  </sheetData>
  <mergeCells count="6">
    <mergeCell ref="D5:J5"/>
    <mergeCell ref="E6:E7"/>
    <mergeCell ref="I6:J6"/>
    <mergeCell ref="G6:H6"/>
    <mergeCell ref="D6:D7"/>
    <mergeCell ref="F6:F7"/>
  </mergeCells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N10"/>
  <sheetViews>
    <sheetView showGridLines="0" workbookViewId="0">
      <selection activeCell="O20" sqref="O20"/>
    </sheetView>
  </sheetViews>
  <sheetFormatPr defaultColWidth="9.0703125" defaultRowHeight="12.75" x14ac:dyDescent="0.25"/>
  <cols>
    <col min="1" max="3" width="9.0703125" style="5"/>
    <col min="4" max="4" width="6.7109375" style="5" customWidth="1"/>
    <col min="5" max="5" width="12.7109375" style="5" bestFit="1" customWidth="1"/>
    <col min="6" max="6" width="22.7109375" style="5" customWidth="1"/>
    <col min="7" max="7" width="11.0703125" style="5" bestFit="1" customWidth="1"/>
    <col min="8" max="10" width="10.7109375" style="5" customWidth="1"/>
    <col min="11" max="11" width="7.7109375" style="5" customWidth="1"/>
    <col min="12" max="13" width="10.7109375" style="5" customWidth="1"/>
    <col min="14" max="14" width="7.7109375" style="5" customWidth="1"/>
    <col min="15" max="16384" width="9.0703125" style="5"/>
  </cols>
  <sheetData>
    <row r="5" spans="4:14" x14ac:dyDescent="0.25">
      <c r="D5" s="216" t="s">
        <v>51</v>
      </c>
      <c r="E5" s="216"/>
      <c r="F5" s="216"/>
      <c r="G5" s="216"/>
      <c r="H5" s="216"/>
      <c r="I5" s="216"/>
      <c r="J5" s="216"/>
      <c r="K5" s="216"/>
      <c r="L5" s="216"/>
      <c r="M5" s="216"/>
      <c r="N5" s="216"/>
    </row>
    <row r="6" spans="4:14" ht="13.5" customHeight="1" x14ac:dyDescent="0.25">
      <c r="D6" s="224" t="s">
        <v>27</v>
      </c>
      <c r="E6" s="220" t="s">
        <v>26</v>
      </c>
      <c r="F6" s="222"/>
      <c r="G6" s="220" t="s">
        <v>25</v>
      </c>
      <c r="H6" s="252" t="s">
        <v>102</v>
      </c>
      <c r="I6" s="247" t="s">
        <v>24</v>
      </c>
      <c r="J6" s="248"/>
      <c r="K6" s="248"/>
      <c r="L6" s="245" t="s">
        <v>23</v>
      </c>
      <c r="M6" s="248"/>
      <c r="N6" s="246"/>
    </row>
    <row r="7" spans="4:14" ht="25.5" x14ac:dyDescent="0.25">
      <c r="D7" s="225"/>
      <c r="E7" s="250"/>
      <c r="F7" s="251"/>
      <c r="G7" s="221"/>
      <c r="H7" s="253"/>
      <c r="I7" s="32" t="s">
        <v>50</v>
      </c>
      <c r="J7" s="31" t="s">
        <v>49</v>
      </c>
      <c r="K7" s="24" t="s">
        <v>44</v>
      </c>
      <c r="L7" s="93" t="s">
        <v>50</v>
      </c>
      <c r="M7" s="31" t="s">
        <v>49</v>
      </c>
      <c r="N7" s="23" t="s">
        <v>44</v>
      </c>
    </row>
    <row r="8" spans="4:14" ht="40.5" customHeight="1" x14ac:dyDescent="0.25">
      <c r="D8" s="6">
        <v>1</v>
      </c>
      <c r="E8" s="226" t="s">
        <v>101</v>
      </c>
      <c r="F8" s="29" t="s">
        <v>100</v>
      </c>
      <c r="G8" s="7" t="s">
        <v>46</v>
      </c>
      <c r="H8" s="33">
        <v>9510</v>
      </c>
      <c r="I8" s="26">
        <v>9520</v>
      </c>
      <c r="J8" s="30">
        <f>I8-$H8</f>
        <v>10</v>
      </c>
      <c r="K8" s="51" t="s">
        <v>45</v>
      </c>
      <c r="L8" s="28">
        <v>9510</v>
      </c>
      <c r="M8" s="30">
        <f>L8-$H8</f>
        <v>0</v>
      </c>
      <c r="N8" s="27" t="s">
        <v>45</v>
      </c>
    </row>
    <row r="9" spans="4:14" ht="27" customHeight="1" x14ac:dyDescent="0.25">
      <c r="D9" s="6">
        <v>2</v>
      </c>
      <c r="E9" s="227"/>
      <c r="F9" s="12" t="s">
        <v>47</v>
      </c>
      <c r="G9" s="7" t="s">
        <v>46</v>
      </c>
      <c r="H9" s="34">
        <v>2370</v>
      </c>
      <c r="I9" s="26">
        <v>2360</v>
      </c>
      <c r="J9" s="30">
        <f t="shared" ref="J9:J10" si="0">I9-$H9</f>
        <v>-10</v>
      </c>
      <c r="K9" s="51" t="s">
        <v>45</v>
      </c>
      <c r="L9" s="28">
        <v>2330</v>
      </c>
      <c r="M9" s="30">
        <f t="shared" ref="M9:M10" si="1">L9-$H9</f>
        <v>-40</v>
      </c>
      <c r="N9" s="27" t="s">
        <v>45</v>
      </c>
    </row>
    <row r="10" spans="4:14" ht="27" customHeight="1" x14ac:dyDescent="0.25">
      <c r="D10" s="6">
        <v>3</v>
      </c>
      <c r="E10" s="238"/>
      <c r="F10" s="12" t="s">
        <v>48</v>
      </c>
      <c r="G10" s="7" t="s">
        <v>46</v>
      </c>
      <c r="H10" s="33">
        <v>1160</v>
      </c>
      <c r="I10" s="26">
        <v>1160</v>
      </c>
      <c r="J10" s="30">
        <f t="shared" si="0"/>
        <v>0</v>
      </c>
      <c r="K10" s="51" t="s">
        <v>45</v>
      </c>
      <c r="L10" s="28">
        <v>1160</v>
      </c>
      <c r="M10" s="30">
        <f t="shared" si="1"/>
        <v>0</v>
      </c>
      <c r="N10" s="27" t="s">
        <v>45</v>
      </c>
    </row>
  </sheetData>
  <mergeCells count="8">
    <mergeCell ref="E8:E10"/>
    <mergeCell ref="E6:F7"/>
    <mergeCell ref="D5:N5"/>
    <mergeCell ref="D6:D7"/>
    <mergeCell ref="G6:G7"/>
    <mergeCell ref="I6:K6"/>
    <mergeCell ref="L6:N6"/>
    <mergeCell ref="H6:H7"/>
  </mergeCells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5:K42"/>
  <sheetViews>
    <sheetView showGridLines="0" workbookViewId="0">
      <selection activeCell="D24" sqref="D24"/>
    </sheetView>
  </sheetViews>
  <sheetFormatPr defaultColWidth="9.0703125" defaultRowHeight="12.75" x14ac:dyDescent="0.25"/>
  <cols>
    <col min="1" max="3" width="9.0703125" style="5"/>
    <col min="4" max="4" width="19.28515625" style="5" bestFit="1" customWidth="1"/>
    <col min="5" max="5" width="25.7109375" style="5" customWidth="1"/>
    <col min="6" max="6" width="21.7109375" style="5" customWidth="1"/>
    <col min="7" max="7" width="11.5703125" style="5" bestFit="1" customWidth="1"/>
    <col min="8" max="11" width="10.7109375" style="5" customWidth="1"/>
    <col min="12" max="16384" width="9.0703125" style="5"/>
  </cols>
  <sheetData>
    <row r="5" spans="4:11" x14ac:dyDescent="0.25">
      <c r="D5" s="216" t="s">
        <v>89</v>
      </c>
      <c r="E5" s="216"/>
      <c r="F5" s="216"/>
      <c r="G5" s="216"/>
      <c r="H5" s="216"/>
      <c r="I5" s="216"/>
      <c r="J5" s="216"/>
      <c r="K5" s="216"/>
    </row>
    <row r="6" spans="4:11" ht="13.5" customHeight="1" x14ac:dyDescent="0.25">
      <c r="D6" s="36" t="s">
        <v>26</v>
      </c>
      <c r="E6" s="35" t="s">
        <v>82</v>
      </c>
      <c r="F6" s="74" t="s">
        <v>25</v>
      </c>
      <c r="G6" s="73"/>
      <c r="H6" s="257" t="s">
        <v>24</v>
      </c>
      <c r="I6" s="259"/>
      <c r="J6" s="257" t="s">
        <v>23</v>
      </c>
      <c r="K6" s="258"/>
    </row>
    <row r="7" spans="4:11" x14ac:dyDescent="0.25">
      <c r="D7" s="218" t="s">
        <v>53</v>
      </c>
      <c r="E7" s="226" t="s">
        <v>90</v>
      </c>
      <c r="F7" s="264" t="s">
        <v>60</v>
      </c>
      <c r="G7" s="52" t="s">
        <v>56</v>
      </c>
      <c r="H7" s="265" t="s">
        <v>73</v>
      </c>
      <c r="I7" s="266"/>
      <c r="J7" s="267" t="s">
        <v>72</v>
      </c>
      <c r="K7" s="268"/>
    </row>
    <row r="8" spans="4:11" x14ac:dyDescent="0.25">
      <c r="D8" s="218"/>
      <c r="E8" s="227"/>
      <c r="F8" s="264"/>
      <c r="G8" s="52" t="s">
        <v>57</v>
      </c>
      <c r="H8" s="265" t="s">
        <v>73</v>
      </c>
      <c r="I8" s="266"/>
      <c r="J8" s="267" t="s">
        <v>72</v>
      </c>
      <c r="K8" s="268"/>
    </row>
    <row r="9" spans="4:11" x14ac:dyDescent="0.25">
      <c r="D9" s="218"/>
      <c r="E9" s="227"/>
      <c r="F9" s="264"/>
      <c r="G9" s="52" t="s">
        <v>58</v>
      </c>
      <c r="H9" s="265" t="s">
        <v>73</v>
      </c>
      <c r="I9" s="266"/>
      <c r="J9" s="267" t="s">
        <v>72</v>
      </c>
      <c r="K9" s="268"/>
    </row>
    <row r="10" spans="4:11" ht="13.15" thickBot="1" x14ac:dyDescent="0.3">
      <c r="D10" s="218"/>
      <c r="E10" s="227"/>
      <c r="F10" s="264"/>
      <c r="G10" s="53" t="s">
        <v>59</v>
      </c>
      <c r="H10" s="269" t="s">
        <v>73</v>
      </c>
      <c r="I10" s="270"/>
      <c r="J10" s="271" t="s">
        <v>72</v>
      </c>
      <c r="K10" s="272"/>
    </row>
    <row r="11" spans="4:11" x14ac:dyDescent="0.25">
      <c r="D11" s="218"/>
      <c r="E11" s="238"/>
      <c r="F11" s="264"/>
      <c r="G11" s="68" t="s">
        <v>4</v>
      </c>
      <c r="H11" s="273" t="s">
        <v>74</v>
      </c>
      <c r="I11" s="274"/>
      <c r="J11" s="275" t="s">
        <v>74</v>
      </c>
      <c r="K11" s="276"/>
    </row>
    <row r="12" spans="4:11" x14ac:dyDescent="0.25">
      <c r="D12" s="69"/>
      <c r="E12" s="69"/>
      <c r="F12" s="69"/>
      <c r="G12" s="69"/>
      <c r="H12" s="70"/>
      <c r="I12" s="70"/>
      <c r="J12" s="70"/>
      <c r="K12" s="70"/>
    </row>
    <row r="13" spans="4:11" x14ac:dyDescent="0.25">
      <c r="D13" s="216" t="s">
        <v>91</v>
      </c>
      <c r="E13" s="216"/>
      <c r="F13" s="216"/>
      <c r="G13" s="216"/>
      <c r="H13" s="216"/>
      <c r="I13" s="216"/>
      <c r="J13" s="216"/>
      <c r="K13" s="216"/>
    </row>
    <row r="14" spans="4:11" ht="13.5" customHeight="1" x14ac:dyDescent="0.25">
      <c r="D14" s="254" t="s">
        <v>26</v>
      </c>
      <c r="E14" s="254" t="s">
        <v>82</v>
      </c>
      <c r="F14" s="261" t="s">
        <v>25</v>
      </c>
      <c r="G14" s="260"/>
      <c r="H14" s="257" t="s">
        <v>24</v>
      </c>
      <c r="I14" s="259"/>
      <c r="J14" s="257" t="s">
        <v>23</v>
      </c>
      <c r="K14" s="258"/>
    </row>
    <row r="15" spans="4:11" x14ac:dyDescent="0.25">
      <c r="D15" s="254"/>
      <c r="E15" s="254"/>
      <c r="F15" s="261"/>
      <c r="G15" s="260"/>
      <c r="H15" s="79" t="s">
        <v>70</v>
      </c>
      <c r="I15" s="80" t="s">
        <v>71</v>
      </c>
      <c r="J15" s="43" t="s">
        <v>70</v>
      </c>
      <c r="K15" s="40" t="s">
        <v>71</v>
      </c>
    </row>
    <row r="16" spans="4:11" x14ac:dyDescent="0.25">
      <c r="D16" s="227" t="s">
        <v>87</v>
      </c>
      <c r="E16" s="227" t="s">
        <v>83</v>
      </c>
      <c r="F16" s="255" t="s">
        <v>106</v>
      </c>
      <c r="G16" s="57" t="s">
        <v>61</v>
      </c>
      <c r="H16" s="75">
        <v>0</v>
      </c>
      <c r="I16" s="76">
        <v>9520</v>
      </c>
      <c r="J16" s="77">
        <v>0</v>
      </c>
      <c r="K16" s="78">
        <v>9510</v>
      </c>
    </row>
    <row r="17" spans="4:11" x14ac:dyDescent="0.25">
      <c r="D17" s="227"/>
      <c r="E17" s="227"/>
      <c r="F17" s="255"/>
      <c r="G17" s="54" t="s">
        <v>62</v>
      </c>
      <c r="H17" s="58">
        <v>0</v>
      </c>
      <c r="I17" s="59">
        <v>9510</v>
      </c>
      <c r="J17" s="38">
        <v>0</v>
      </c>
      <c r="K17" s="39">
        <v>9520</v>
      </c>
    </row>
    <row r="18" spans="4:11" ht="13.15" thickBot="1" x14ac:dyDescent="0.3">
      <c r="D18" s="227"/>
      <c r="E18" s="227"/>
      <c r="F18" s="255"/>
      <c r="G18" s="55" t="s">
        <v>63</v>
      </c>
      <c r="H18" s="60">
        <v>0</v>
      </c>
      <c r="I18" s="61">
        <v>9510</v>
      </c>
      <c r="J18" s="44">
        <v>0</v>
      </c>
      <c r="K18" s="42">
        <v>9520</v>
      </c>
    </row>
    <row r="19" spans="4:11" x14ac:dyDescent="0.25">
      <c r="D19" s="227"/>
      <c r="E19" s="227"/>
      <c r="F19" s="255"/>
      <c r="G19" s="56" t="s">
        <v>64</v>
      </c>
      <c r="H19" s="62">
        <f>AVERAGE(H16:H18)</f>
        <v>0</v>
      </c>
      <c r="I19" s="63">
        <f t="shared" ref="I19:K19" si="0">AVERAGE(I16:I18)</f>
        <v>9513.3333333333339</v>
      </c>
      <c r="J19" s="45">
        <f t="shared" si="0"/>
        <v>0</v>
      </c>
      <c r="K19" s="50">
        <f t="shared" si="0"/>
        <v>9516.6666666666661</v>
      </c>
    </row>
    <row r="20" spans="4:11" x14ac:dyDescent="0.25">
      <c r="D20" s="227"/>
      <c r="E20" s="227"/>
      <c r="F20" s="255"/>
      <c r="G20" s="54" t="s">
        <v>65</v>
      </c>
      <c r="H20" s="58">
        <v>0</v>
      </c>
      <c r="I20" s="59">
        <v>-7</v>
      </c>
      <c r="J20" s="38">
        <v>0</v>
      </c>
      <c r="K20" s="39">
        <v>7</v>
      </c>
    </row>
    <row r="21" spans="4:11" x14ac:dyDescent="0.25">
      <c r="D21" s="238"/>
      <c r="E21" s="238"/>
      <c r="F21" s="256"/>
      <c r="G21" s="54" t="s">
        <v>4</v>
      </c>
      <c r="H21" s="58" t="s">
        <v>75</v>
      </c>
      <c r="I21" s="59" t="s">
        <v>74</v>
      </c>
      <c r="J21" s="38" t="s">
        <v>74</v>
      </c>
      <c r="K21" s="39" t="s">
        <v>74</v>
      </c>
    </row>
    <row r="22" spans="4:11" x14ac:dyDescent="0.25">
      <c r="D22" s="72"/>
      <c r="E22" s="72"/>
      <c r="F22" s="72"/>
      <c r="G22" s="72"/>
      <c r="H22" s="71"/>
      <c r="I22" s="71"/>
      <c r="J22" s="71"/>
      <c r="K22" s="71"/>
    </row>
    <row r="23" spans="4:11" x14ac:dyDescent="0.25">
      <c r="D23" s="216" t="s">
        <v>92</v>
      </c>
      <c r="E23" s="216"/>
      <c r="F23" s="216"/>
      <c r="G23" s="216"/>
      <c r="H23" s="216"/>
      <c r="I23" s="216"/>
      <c r="J23" s="216"/>
      <c r="K23" s="216"/>
    </row>
    <row r="24" spans="4:11" ht="13.5" customHeight="1" x14ac:dyDescent="0.25">
      <c r="D24" s="88" t="s">
        <v>26</v>
      </c>
      <c r="E24" s="89" t="s">
        <v>82</v>
      </c>
      <c r="F24" s="90" t="s">
        <v>25</v>
      </c>
      <c r="G24" s="91"/>
      <c r="H24" s="257" t="s">
        <v>24</v>
      </c>
      <c r="I24" s="259"/>
      <c r="J24" s="257" t="s">
        <v>23</v>
      </c>
      <c r="K24" s="258"/>
    </row>
    <row r="25" spans="4:11" x14ac:dyDescent="0.25">
      <c r="D25" s="218" t="s">
        <v>54</v>
      </c>
      <c r="E25" s="226" t="s">
        <v>84</v>
      </c>
      <c r="F25" s="264" t="s">
        <v>80</v>
      </c>
      <c r="G25" s="54" t="s">
        <v>66</v>
      </c>
      <c r="H25" s="265">
        <v>820</v>
      </c>
      <c r="I25" s="266"/>
      <c r="J25" s="267">
        <v>980</v>
      </c>
      <c r="K25" s="268"/>
    </row>
    <row r="26" spans="4:11" ht="13.15" thickBot="1" x14ac:dyDescent="0.3">
      <c r="D26" s="218"/>
      <c r="E26" s="227"/>
      <c r="F26" s="264"/>
      <c r="G26" s="55" t="s">
        <v>67</v>
      </c>
      <c r="H26" s="269">
        <v>820</v>
      </c>
      <c r="I26" s="270"/>
      <c r="J26" s="271">
        <v>980</v>
      </c>
      <c r="K26" s="272"/>
    </row>
    <row r="27" spans="4:11" x14ac:dyDescent="0.25">
      <c r="D27" s="218"/>
      <c r="E27" s="227"/>
      <c r="F27" s="264"/>
      <c r="G27" s="56" t="s">
        <v>65</v>
      </c>
      <c r="H27" s="273">
        <f>H25-H26</f>
        <v>0</v>
      </c>
      <c r="I27" s="274"/>
      <c r="J27" s="275">
        <f>J25-J26</f>
        <v>0</v>
      </c>
      <c r="K27" s="276"/>
    </row>
    <row r="28" spans="4:11" x14ac:dyDescent="0.25">
      <c r="D28" s="218"/>
      <c r="E28" s="238"/>
      <c r="F28" s="264"/>
      <c r="G28" s="54" t="s">
        <v>4</v>
      </c>
      <c r="H28" s="265" t="s">
        <v>74</v>
      </c>
      <c r="I28" s="266"/>
      <c r="J28" s="267" t="s">
        <v>74</v>
      </c>
      <c r="K28" s="268"/>
    </row>
    <row r="29" spans="4:11" x14ac:dyDescent="0.25">
      <c r="D29" s="72"/>
      <c r="E29" s="72"/>
      <c r="F29" s="72"/>
      <c r="G29" s="72"/>
      <c r="H29" s="71"/>
      <c r="I29" s="71"/>
      <c r="J29" s="71"/>
      <c r="K29" s="71"/>
    </row>
    <row r="30" spans="4:11" x14ac:dyDescent="0.25">
      <c r="D30" s="216" t="s">
        <v>93</v>
      </c>
      <c r="E30" s="216"/>
      <c r="F30" s="216"/>
      <c r="G30" s="216"/>
      <c r="H30" s="216"/>
      <c r="I30" s="216"/>
      <c r="J30" s="216"/>
      <c r="K30" s="216"/>
    </row>
    <row r="31" spans="4:11" ht="13.5" customHeight="1" x14ac:dyDescent="0.25">
      <c r="D31" s="36" t="s">
        <v>26</v>
      </c>
      <c r="E31" s="35" t="s">
        <v>82</v>
      </c>
      <c r="F31" s="74" t="s">
        <v>25</v>
      </c>
      <c r="G31" s="73"/>
      <c r="H31" s="262" t="s">
        <v>24</v>
      </c>
      <c r="I31" s="263"/>
      <c r="J31" s="262" t="s">
        <v>23</v>
      </c>
      <c r="K31" s="246"/>
    </row>
    <row r="32" spans="4:11" x14ac:dyDescent="0.25">
      <c r="D32" s="218" t="s">
        <v>55</v>
      </c>
      <c r="E32" s="226" t="s">
        <v>85</v>
      </c>
      <c r="F32" s="264" t="s">
        <v>79</v>
      </c>
      <c r="G32" s="54" t="s">
        <v>66</v>
      </c>
      <c r="H32" s="265">
        <v>9660</v>
      </c>
      <c r="I32" s="266"/>
      <c r="J32" s="267">
        <v>9650</v>
      </c>
      <c r="K32" s="268"/>
    </row>
    <row r="33" spans="4:11" ht="13.15" thickBot="1" x14ac:dyDescent="0.3">
      <c r="D33" s="218"/>
      <c r="E33" s="227"/>
      <c r="F33" s="264"/>
      <c r="G33" s="55" t="s">
        <v>67</v>
      </c>
      <c r="H33" s="269">
        <v>9670</v>
      </c>
      <c r="I33" s="270"/>
      <c r="J33" s="271">
        <v>9700</v>
      </c>
      <c r="K33" s="272"/>
    </row>
    <row r="34" spans="4:11" x14ac:dyDescent="0.25">
      <c r="D34" s="218"/>
      <c r="E34" s="227"/>
      <c r="F34" s="264"/>
      <c r="G34" s="56" t="s">
        <v>65</v>
      </c>
      <c r="H34" s="273">
        <f>H32-H33</f>
        <v>-10</v>
      </c>
      <c r="I34" s="274"/>
      <c r="J34" s="275">
        <f>J32-J33</f>
        <v>-50</v>
      </c>
      <c r="K34" s="276"/>
    </row>
    <row r="35" spans="4:11" x14ac:dyDescent="0.25">
      <c r="D35" s="218"/>
      <c r="E35" s="238"/>
      <c r="F35" s="264"/>
      <c r="G35" s="54" t="s">
        <v>4</v>
      </c>
      <c r="H35" s="265" t="s">
        <v>74</v>
      </c>
      <c r="I35" s="266"/>
      <c r="J35" s="267" t="s">
        <v>74</v>
      </c>
      <c r="K35" s="268"/>
    </row>
    <row r="36" spans="4:11" x14ac:dyDescent="0.25">
      <c r="D36" s="72"/>
      <c r="E36" s="72"/>
      <c r="F36" s="72"/>
      <c r="G36" s="72"/>
      <c r="H36" s="71"/>
      <c r="I36" s="71"/>
      <c r="J36" s="71"/>
      <c r="K36" s="71"/>
    </row>
    <row r="37" spans="4:11" x14ac:dyDescent="0.25">
      <c r="D37" s="216" t="s">
        <v>94</v>
      </c>
      <c r="E37" s="216"/>
      <c r="F37" s="216"/>
      <c r="G37" s="216"/>
      <c r="H37" s="216"/>
      <c r="I37" s="216"/>
      <c r="J37" s="216"/>
      <c r="K37" s="216"/>
    </row>
    <row r="38" spans="4:11" ht="13.5" customHeight="1" x14ac:dyDescent="0.25">
      <c r="D38" s="254" t="s">
        <v>26</v>
      </c>
      <c r="E38" s="254" t="s">
        <v>82</v>
      </c>
      <c r="F38" s="261" t="s">
        <v>25</v>
      </c>
      <c r="G38" s="260"/>
      <c r="H38" s="257" t="s">
        <v>24</v>
      </c>
      <c r="I38" s="259"/>
      <c r="J38" s="257" t="s">
        <v>23</v>
      </c>
      <c r="K38" s="258"/>
    </row>
    <row r="39" spans="4:11" ht="13.5" customHeight="1" x14ac:dyDescent="0.25">
      <c r="D39" s="254"/>
      <c r="E39" s="254"/>
      <c r="F39" s="261"/>
      <c r="G39" s="260"/>
      <c r="H39" s="86" t="s">
        <v>76</v>
      </c>
      <c r="I39" s="87" t="s">
        <v>77</v>
      </c>
      <c r="J39" s="46" t="s">
        <v>76</v>
      </c>
      <c r="K39" s="41" t="s">
        <v>77</v>
      </c>
    </row>
    <row r="40" spans="4:11" ht="20.25" customHeight="1" thickBot="1" x14ac:dyDescent="0.3">
      <c r="D40" s="227" t="s">
        <v>88</v>
      </c>
      <c r="E40" s="227" t="s">
        <v>86</v>
      </c>
      <c r="F40" s="255" t="s">
        <v>81</v>
      </c>
      <c r="G40" s="81" t="s">
        <v>78</v>
      </c>
      <c r="H40" s="82">
        <v>9690</v>
      </c>
      <c r="I40" s="83"/>
      <c r="J40" s="84">
        <v>9820</v>
      </c>
      <c r="K40" s="85"/>
    </row>
    <row r="41" spans="4:11" ht="20.25" customHeight="1" x14ac:dyDescent="0.25">
      <c r="D41" s="227"/>
      <c r="E41" s="227"/>
      <c r="F41" s="255"/>
      <c r="G41" s="56" t="s">
        <v>68</v>
      </c>
      <c r="H41" s="64">
        <v>9690</v>
      </c>
      <c r="I41" s="65" t="s">
        <v>74</v>
      </c>
      <c r="J41" s="48">
        <v>9820</v>
      </c>
      <c r="K41" s="49" t="s">
        <v>74</v>
      </c>
    </row>
    <row r="42" spans="4:11" ht="20.25" customHeight="1" x14ac:dyDescent="0.25">
      <c r="D42" s="238"/>
      <c r="E42" s="238"/>
      <c r="F42" s="256"/>
      <c r="G42" s="52" t="s">
        <v>69</v>
      </c>
      <c r="H42" s="66">
        <v>9680</v>
      </c>
      <c r="I42" s="67" t="s">
        <v>74</v>
      </c>
      <c r="J42" s="47">
        <v>9820</v>
      </c>
      <c r="K42" s="27" t="s">
        <v>74</v>
      </c>
    </row>
  </sheetData>
  <mergeCells count="64">
    <mergeCell ref="H6:I6"/>
    <mergeCell ref="J6:K6"/>
    <mergeCell ref="H10:I10"/>
    <mergeCell ref="H9:I9"/>
    <mergeCell ref="H8:I8"/>
    <mergeCell ref="H7:I7"/>
    <mergeCell ref="J7:K7"/>
    <mergeCell ref="J8:K8"/>
    <mergeCell ref="J9:K9"/>
    <mergeCell ref="J10:K10"/>
    <mergeCell ref="H11:I11"/>
    <mergeCell ref="J11:K11"/>
    <mergeCell ref="H25:I25"/>
    <mergeCell ref="J25:K25"/>
    <mergeCell ref="J14:K14"/>
    <mergeCell ref="H14:I14"/>
    <mergeCell ref="H26:I26"/>
    <mergeCell ref="J26:K26"/>
    <mergeCell ref="H27:I27"/>
    <mergeCell ref="J27:K27"/>
    <mergeCell ref="H28:I28"/>
    <mergeCell ref="J28:K28"/>
    <mergeCell ref="F32:F35"/>
    <mergeCell ref="D32:D35"/>
    <mergeCell ref="H35:I35"/>
    <mergeCell ref="J35:K35"/>
    <mergeCell ref="H32:I32"/>
    <mergeCell ref="J32:K32"/>
    <mergeCell ref="H33:I33"/>
    <mergeCell ref="J33:K33"/>
    <mergeCell ref="H34:I34"/>
    <mergeCell ref="J34:K34"/>
    <mergeCell ref="D5:K5"/>
    <mergeCell ref="D13:K13"/>
    <mergeCell ref="D23:K23"/>
    <mergeCell ref="D30:K30"/>
    <mergeCell ref="F16:F21"/>
    <mergeCell ref="E16:E21"/>
    <mergeCell ref="D16:D21"/>
    <mergeCell ref="E25:E28"/>
    <mergeCell ref="E7:E11"/>
    <mergeCell ref="D14:D15"/>
    <mergeCell ref="F14:F15"/>
    <mergeCell ref="G14:G15"/>
    <mergeCell ref="F7:F11"/>
    <mergeCell ref="D7:D11"/>
    <mergeCell ref="F25:F28"/>
    <mergeCell ref="D25:D28"/>
    <mergeCell ref="E14:E15"/>
    <mergeCell ref="F40:F42"/>
    <mergeCell ref="E40:E42"/>
    <mergeCell ref="D40:D42"/>
    <mergeCell ref="J38:K38"/>
    <mergeCell ref="H38:I38"/>
    <mergeCell ref="G38:G39"/>
    <mergeCell ref="F38:F39"/>
    <mergeCell ref="E38:E39"/>
    <mergeCell ref="D38:D39"/>
    <mergeCell ref="J31:K31"/>
    <mergeCell ref="H31:I31"/>
    <mergeCell ref="H24:I24"/>
    <mergeCell ref="J24:K24"/>
    <mergeCell ref="D37:K37"/>
    <mergeCell ref="E32:E35"/>
  </mergeCells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5:E9"/>
  <sheetViews>
    <sheetView showGridLines="0" workbookViewId="0">
      <selection activeCell="H31" sqref="H31"/>
    </sheetView>
  </sheetViews>
  <sheetFormatPr defaultRowHeight="12" x14ac:dyDescent="0.25"/>
  <cols>
    <col min="2" max="2" width="8" bestFit="1" customWidth="1"/>
    <col min="3" max="3" width="26.42578125" bestFit="1" customWidth="1"/>
    <col min="4" max="5" width="20.28515625" bestFit="1" customWidth="1"/>
  </cols>
  <sheetData>
    <row r="5" spans="2:5" x14ac:dyDescent="0.25">
      <c r="B5" s="277" t="s">
        <v>115</v>
      </c>
      <c r="C5" s="277" t="s">
        <v>116</v>
      </c>
      <c r="D5" s="277" t="s">
        <v>25</v>
      </c>
      <c r="E5" s="277"/>
    </row>
    <row r="6" spans="2:5" x14ac:dyDescent="0.25">
      <c r="B6" s="277"/>
      <c r="C6" s="277"/>
      <c r="D6" s="97" t="s">
        <v>117</v>
      </c>
      <c r="E6" s="97" t="s">
        <v>118</v>
      </c>
    </row>
    <row r="7" spans="2:5" ht="24" x14ac:dyDescent="0.25">
      <c r="B7" s="96">
        <v>1</v>
      </c>
      <c r="C7" s="96" t="s">
        <v>119</v>
      </c>
      <c r="D7" s="121" t="s">
        <v>122</v>
      </c>
      <c r="E7" s="121" t="s">
        <v>123</v>
      </c>
    </row>
    <row r="8" spans="2:5" x14ac:dyDescent="0.25">
      <c r="B8" s="96">
        <v>4</v>
      </c>
      <c r="C8" s="96" t="s">
        <v>120</v>
      </c>
      <c r="D8" s="96" t="s">
        <v>121</v>
      </c>
      <c r="E8" s="96" t="s">
        <v>127</v>
      </c>
    </row>
    <row r="9" spans="2:5" x14ac:dyDescent="0.25">
      <c r="B9" s="96">
        <v>5</v>
      </c>
      <c r="C9" s="96" t="s">
        <v>124</v>
      </c>
      <c r="D9" s="96" t="s">
        <v>125</v>
      </c>
      <c r="E9" s="96" t="s">
        <v>128</v>
      </c>
    </row>
  </sheetData>
  <mergeCells count="3">
    <mergeCell ref="D5:E5"/>
    <mergeCell ref="C5:C6"/>
    <mergeCell ref="B5:B6"/>
  </mergeCells>
  <phoneticPr fontId="1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2</vt:i4>
      </vt:variant>
    </vt:vector>
  </HeadingPairs>
  <TitlesOfParts>
    <vt:vector size="8" baseType="lpstr">
      <vt:lpstr>評価試験結果</vt:lpstr>
      <vt:lpstr>基板調整</vt:lpstr>
      <vt:lpstr>動作確認</vt:lpstr>
      <vt:lpstr>出荷検査</vt:lpstr>
      <vt:lpstr>抜き取り検査</vt:lpstr>
      <vt:lpstr>合否基準変更</vt:lpstr>
      <vt:lpstr>評価試験結果!Print_Area</vt:lpstr>
      <vt:lpstr>評価試験結果!Print_Titles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hidemi</dc:creator>
  <cp:lastModifiedBy>慎一郎 柵木</cp:lastModifiedBy>
  <cp:lastPrinted>2024-10-30T22:03:23Z</cp:lastPrinted>
  <dcterms:created xsi:type="dcterms:W3CDTF">2018-08-21T06:24:55Z</dcterms:created>
  <dcterms:modified xsi:type="dcterms:W3CDTF">2024-10-31T00:00:26Z</dcterms:modified>
</cp:coreProperties>
</file>