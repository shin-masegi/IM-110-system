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externalLinks/externalLink1.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9160" yWindow="2300" windowWidth="29040" windowHeight="20320" tabRatio="869" firstSheet="0" activeTab="0" autoFilterDateGrouping="1"/>
  </bookViews>
  <sheets>
    <sheet name="IM-110T本体評価試験計画" sheetId="1" state="visible" r:id="rId1"/>
  </sheets>
  <externalReferences>
    <externalReference r:id="rId2"/>
  </externalReferences>
  <definedNames>
    <definedName name="_xlnm.Print_Titles" localSheetId="0">'IM-110T本体評価試験計画'!$17:$20</definedName>
    <definedName name="_xlnm.Print_Area" localSheetId="0">'IM-110T本体評価試験計画'!$A$1:$P$329</definedName>
  </definedNames>
  <calcPr calcId="191029" fullCalcOnLoad="1"/>
</workbook>
</file>

<file path=xl/styles.xml><?xml version="1.0" encoding="utf-8"?>
<styleSheet xmlns="http://schemas.openxmlformats.org/spreadsheetml/2006/main">
  <numFmts count="0"/>
  <fonts count="26">
    <font>
      <name val="ＭＳ Ｐゴシック"/>
      <charset val="128"/>
      <family val="3"/>
      <sz val="10"/>
    </font>
    <font>
      <name val="ＭＳ Ｐゴシック"/>
      <charset val="128"/>
      <family val="3"/>
      <sz val="6"/>
    </font>
    <font>
      <name val="ＭＳ Ｐゴシック"/>
      <charset val="128"/>
      <family val="3"/>
      <sz val="11"/>
    </font>
    <font>
      <name val="ＭＳ Ｐゴシック"/>
      <charset val="128"/>
      <family val="3"/>
      <b val="1"/>
      <sz val="11"/>
    </font>
    <font>
      <name val="ＭＳ Ｐゴシック"/>
      <charset val="128"/>
      <family val="3"/>
      <b val="1"/>
      <sz val="20"/>
    </font>
    <font>
      <name val="ＭＳ Ｐゴシック"/>
      <charset val="128"/>
      <family val="3"/>
      <b val="1"/>
      <color theme="1"/>
      <sz val="11"/>
    </font>
    <font>
      <name val="ＭＳ Ｐゴシック"/>
      <charset val="128"/>
      <family val="3"/>
      <color theme="1"/>
      <sz val="9"/>
    </font>
    <font>
      <name val="ＭＳ Ｐゴシック"/>
      <charset val="128"/>
      <family val="3"/>
      <color theme="1"/>
      <sz val="11"/>
    </font>
    <font>
      <name val="ＭＳ Ｐゴシック"/>
      <charset val="128"/>
      <family val="3"/>
      <sz val="9"/>
    </font>
    <font>
      <name val="ＭＳ Ｐゴシック"/>
      <charset val="128"/>
      <family val="3"/>
      <sz val="10"/>
    </font>
    <font>
      <name val="ＭＳ Ｐゴシック"/>
      <charset val="128"/>
      <family val="3"/>
      <b val="1"/>
      <color rgb="FFFF0000"/>
      <sz val="11"/>
    </font>
    <font>
      <name val="游ゴシック"/>
      <family val="2"/>
      <color theme="1"/>
      <sz val="11"/>
      <scheme val="minor"/>
    </font>
    <font>
      <name val="游ゴシック"/>
      <charset val="128"/>
      <family val="2"/>
      <sz val="6"/>
      <scheme val="minor"/>
    </font>
    <font>
      <name val="ＭＳ Ｐゴシック"/>
      <charset val="128"/>
      <family val="3"/>
      <color rgb="FFFF0000"/>
      <sz val="10"/>
    </font>
    <font>
      <name val="MS P ゴシック"/>
      <charset val="128"/>
      <family val="3"/>
      <color indexed="81"/>
      <sz val="9"/>
    </font>
    <font>
      <name val="MS P ゴシック"/>
      <charset val="128"/>
      <family val="3"/>
      <b val="1"/>
      <color indexed="81"/>
      <sz val="9"/>
    </font>
    <font>
      <name val="ＭＳ Ｐゴシック"/>
      <charset val="128"/>
      <family val="3"/>
      <b val="1"/>
      <sz val="9"/>
    </font>
    <font>
      <name val="ＭＳ Ｐゴシック"/>
      <charset val="128"/>
      <family val="3"/>
      <color rgb="FFFF0000"/>
      <sz val="9"/>
    </font>
    <font>
      <name val="ＭＳ Ｐゴシック"/>
      <charset val="128"/>
      <family val="3"/>
      <color rgb="FFFF0000"/>
      <sz val="11"/>
    </font>
    <font>
      <name val="ＭＳ Ｐゴシック"/>
      <charset val="128"/>
      <family val="3"/>
      <strike val="1"/>
      <sz val="9"/>
    </font>
    <font>
      <name val="ＭＳ Ｐゴシック"/>
      <charset val="128"/>
      <family val="3"/>
      <b val="1"/>
      <color rgb="FFFF0000"/>
      <sz val="9"/>
    </font>
    <font>
      <name val="ＭＳ Ｐゴシック"/>
      <charset val="128"/>
      <family val="3"/>
      <color rgb="FF0000FF"/>
      <sz val="11"/>
    </font>
    <font>
      <name val="ＭＳ Ｐゴシック"/>
      <charset val="128"/>
      <family val="3"/>
      <b val="1"/>
      <color rgb="FF0000FF"/>
      <sz val="11"/>
    </font>
    <font>
      <name val="ＭＳ Ｐゴシック"/>
      <charset val="128"/>
      <family val="3"/>
      <strike val="1"/>
      <color rgb="FFFF0000"/>
      <sz val="9"/>
    </font>
    <font>
      <name val="ＭＳ Ｐゴシック"/>
      <charset val="128"/>
      <family val="3"/>
      <color rgb="FF0000FF"/>
      <sz val="11"/>
      <u val="single"/>
    </font>
    <font>
      <name val="ＭＳ Ｐゴシック"/>
      <charset val="128"/>
      <family val="3"/>
      <color rgb="FFFF0000"/>
      <sz val="11"/>
      <u val="single"/>
    </font>
  </fonts>
  <fills count="10">
    <fill>
      <patternFill/>
    </fill>
    <fill>
      <patternFill patternType="gray125"/>
    </fill>
    <fill>
      <patternFill patternType="solid">
        <fgColor indexed="22"/>
        <bgColor indexed="64"/>
      </patternFill>
    </fill>
    <fill>
      <patternFill patternType="solid">
        <fgColor theme="0"/>
        <bgColor indexed="64"/>
      </patternFill>
    </fill>
    <fill>
      <patternFill patternType="solid">
        <fgColor theme="0" tint="-0.249977111117893"/>
        <bgColor indexed="64"/>
      </patternFill>
    </fill>
    <fill>
      <patternFill patternType="solid">
        <fgColor theme="0" tint="-0.1499984740745262"/>
        <bgColor indexed="64"/>
      </patternFill>
    </fill>
    <fill>
      <patternFill patternType="solid">
        <fgColor theme="5" tint="0.7999816888943144"/>
        <bgColor indexed="64"/>
      </patternFill>
    </fill>
    <fill>
      <patternFill patternType="solid">
        <fgColor theme="7" tint="0.7999816888943144"/>
        <bgColor indexed="64"/>
      </patternFill>
    </fill>
    <fill>
      <patternFill patternType="solid">
        <fgColor theme="8" tint="0.7999816888943144"/>
        <bgColor indexed="64"/>
      </patternFill>
    </fill>
    <fill>
      <patternFill patternType="solid">
        <fgColor rgb="FFFFF2CC"/>
        <bgColor indexed="64"/>
      </patternFill>
    </fill>
  </fills>
  <borders count="30">
    <border>
      <left/>
      <right/>
      <top/>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right/>
      <top style="thin">
        <color indexed="64"/>
      </top>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indexed="64"/>
      </left>
      <right/>
      <top/>
      <bottom/>
      <diagonal/>
    </border>
    <border>
      <left/>
      <right style="thin">
        <color indexed="64"/>
      </right>
      <top/>
      <bottom style="thin">
        <color indexed="64"/>
      </bottom>
      <diagonal/>
    </border>
    <border>
      <left style="thin">
        <color indexed="64"/>
      </left>
      <right style="thin">
        <color indexed="64"/>
      </right>
      <top/>
      <bottom/>
      <diagonal/>
    </border>
    <border>
      <left/>
      <right style="thin">
        <color indexed="64"/>
      </right>
      <top/>
      <bottom/>
      <diagonal/>
    </border>
    <border>
      <left style="thin">
        <color indexed="64"/>
      </left>
      <right/>
      <top style="dashed">
        <color indexed="64"/>
      </top>
      <bottom/>
      <diagonal/>
    </border>
    <border>
      <left/>
      <right style="thin">
        <color indexed="64"/>
      </right>
      <top style="dashed">
        <color indexed="64"/>
      </top>
      <bottom/>
      <diagonal/>
    </border>
    <border>
      <left style="thin">
        <color indexed="64"/>
      </left>
      <right/>
      <top style="thin">
        <color indexed="64"/>
      </top>
      <bottom style="dashed">
        <color indexed="64"/>
      </bottom>
      <diagonal/>
    </border>
    <border>
      <left/>
      <right style="thin">
        <color indexed="64"/>
      </right>
      <top style="thin">
        <color indexed="64"/>
      </top>
      <bottom style="dashed">
        <color indexed="64"/>
      </bottom>
      <diagonal/>
    </border>
    <border>
      <left style="thin">
        <color indexed="64"/>
      </left>
      <right/>
      <top style="dashed">
        <color indexed="64"/>
      </top>
      <bottom style="dashed">
        <color indexed="64"/>
      </bottom>
      <diagonal/>
    </border>
    <border>
      <left/>
      <right style="thin">
        <color indexed="64"/>
      </right>
      <top style="dashed">
        <color indexed="64"/>
      </top>
      <bottom style="dashed">
        <color indexed="64"/>
      </bottom>
      <diagonal/>
    </border>
    <border>
      <left style="thin">
        <color indexed="64"/>
      </left>
      <right/>
      <top style="dashed">
        <color indexed="64"/>
      </top>
      <bottom style="thin">
        <color indexed="64"/>
      </bottom>
      <diagonal/>
    </border>
    <border>
      <left/>
      <right style="thin">
        <color indexed="64"/>
      </right>
      <top style="dashed">
        <color indexed="64"/>
      </top>
      <bottom style="thin">
        <color indexed="64"/>
      </bottom>
      <diagonal/>
    </border>
    <border>
      <left/>
      <right/>
      <top style="dashed">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dashed">
        <color indexed="64"/>
      </top>
      <bottom style="thin">
        <color indexed="64"/>
      </bottom>
      <diagonal/>
    </border>
    <border>
      <left style="thin">
        <color indexed="64"/>
      </left>
      <right style="thin">
        <color indexed="64"/>
      </right>
      <top style="thin">
        <color indexed="64"/>
      </top>
      <bottom style="dashed">
        <color indexed="64"/>
      </bottom>
      <diagonal/>
    </border>
    <border>
      <left style="thin">
        <color indexed="64"/>
      </left>
      <right/>
      <top/>
      <bottom style="dashed">
        <color indexed="64"/>
      </bottom>
      <diagonal/>
    </border>
    <border>
      <left/>
      <right style="thin">
        <color indexed="64"/>
      </right>
      <top/>
      <bottom style="dashed">
        <color indexed="64"/>
      </bottom>
      <diagonal/>
    </border>
    <border>
      <left style="thin">
        <color indexed="64"/>
      </left>
      <right style="thin">
        <color indexed="64"/>
      </right>
      <top style="dashed">
        <color indexed="64"/>
      </top>
      <bottom style="dashed">
        <color indexed="64"/>
      </bottom>
      <diagonal/>
    </border>
  </borders>
  <cellStyleXfs count="7">
    <xf numFmtId="0" fontId="9" fillId="0" borderId="0" applyAlignment="1">
      <alignment vertical="center"/>
    </xf>
    <xf numFmtId="38" fontId="2" fillId="0" borderId="0" applyAlignment="1">
      <alignment vertical="center"/>
    </xf>
    <xf numFmtId="0" fontId="2" fillId="0" borderId="0" applyAlignment="1">
      <alignment vertical="center"/>
    </xf>
    <xf numFmtId="0" fontId="2" fillId="0" borderId="0"/>
    <xf numFmtId="0" fontId="11" fillId="0" borderId="0"/>
    <xf numFmtId="0" fontId="2" fillId="0" borderId="0" applyAlignment="1">
      <alignment vertical="center"/>
    </xf>
    <xf numFmtId="0" fontId="9" fillId="0" borderId="0" applyAlignment="1">
      <alignment vertical="center"/>
    </xf>
  </cellStyleXfs>
  <cellXfs count="317">
    <xf numFmtId="0" fontId="0" fillId="0" borderId="0" applyAlignment="1" pivotButton="0" quotePrefix="0" xfId="0">
      <alignment vertical="center"/>
    </xf>
    <xf numFmtId="0" fontId="2" fillId="0" borderId="0" applyAlignment="1" pivotButton="0" quotePrefix="0" xfId="2">
      <alignment vertical="center"/>
    </xf>
    <xf numFmtId="0" fontId="4" fillId="0" borderId="0" applyAlignment="1" pivotButton="0" quotePrefix="0" xfId="2">
      <alignment vertical="center"/>
    </xf>
    <xf numFmtId="0" fontId="3" fillId="0" borderId="0" applyAlignment="1" pivotButton="0" quotePrefix="0" xfId="2">
      <alignment vertical="center"/>
    </xf>
    <xf numFmtId="9" fontId="2" fillId="0" borderId="0" applyAlignment="1" pivotButton="0" quotePrefix="0" xfId="2">
      <alignment vertical="center"/>
    </xf>
    <xf numFmtId="0" fontId="2" fillId="0" borderId="0" applyAlignment="1" pivotButton="0" quotePrefix="0" xfId="2">
      <alignment horizontal="left" vertical="top" wrapText="1"/>
    </xf>
    <xf numFmtId="0" fontId="18" fillId="0" borderId="0" applyAlignment="1" pivotButton="0" quotePrefix="0" xfId="2">
      <alignment vertical="center"/>
    </xf>
    <xf numFmtId="0" fontId="7" fillId="0" borderId="9" applyAlignment="1" pivotButton="0" quotePrefix="0" xfId="2">
      <alignment vertical="top" wrapText="1"/>
    </xf>
    <xf numFmtId="0" fontId="7" fillId="0" borderId="0" applyAlignment="1" pivotButton="0" quotePrefix="0" xfId="2">
      <alignment vertical="top" wrapText="1"/>
    </xf>
    <xf numFmtId="0" fontId="7" fillId="0" borderId="12" applyAlignment="1" pivotButton="0" quotePrefix="0" xfId="2">
      <alignment vertical="top" wrapText="1"/>
    </xf>
    <xf numFmtId="0" fontId="7" fillId="0" borderId="2" applyAlignment="1" pivotButton="0" quotePrefix="0" xfId="2">
      <alignment vertical="top" wrapText="1"/>
    </xf>
    <xf numFmtId="0" fontId="7" fillId="0" borderId="3" applyAlignment="1" pivotButton="0" quotePrefix="0" xfId="2">
      <alignment vertical="top" wrapText="1"/>
    </xf>
    <xf numFmtId="0" fontId="7" fillId="0" borderId="10" applyAlignment="1" pivotButton="0" quotePrefix="0" xfId="2">
      <alignment vertical="top" wrapText="1"/>
    </xf>
    <xf numFmtId="0" fontId="7" fillId="0" borderId="8" applyAlignment="1" pivotButton="0" quotePrefix="0" xfId="2">
      <alignment vertical="top" wrapText="1"/>
    </xf>
    <xf numFmtId="0" fontId="7" fillId="0" borderId="5" applyAlignment="1" pivotButton="0" quotePrefix="0" xfId="2">
      <alignment vertical="top" wrapText="1"/>
    </xf>
    <xf numFmtId="0" fontId="7" fillId="0" borderId="6" applyAlignment="1" pivotButton="0" quotePrefix="0" xfId="2">
      <alignment vertical="top" wrapText="1"/>
    </xf>
    <xf numFmtId="0" fontId="7" fillId="3" borderId="9" applyAlignment="1" pivotButton="0" quotePrefix="0" xfId="2">
      <alignment vertical="top" wrapText="1"/>
    </xf>
    <xf numFmtId="0" fontId="7" fillId="3" borderId="0" applyAlignment="1" pivotButton="0" quotePrefix="0" xfId="2">
      <alignment vertical="top" wrapText="1"/>
    </xf>
    <xf numFmtId="0" fontId="7" fillId="3" borderId="12" applyAlignment="1" pivotButton="0" quotePrefix="0" xfId="2">
      <alignment vertical="top" wrapText="1"/>
    </xf>
    <xf numFmtId="0" fontId="7" fillId="3" borderId="2" applyAlignment="1" pivotButton="0" quotePrefix="0" xfId="2">
      <alignment vertical="top" wrapText="1"/>
    </xf>
    <xf numFmtId="0" fontId="7" fillId="3" borderId="3" applyAlignment="1" pivotButton="0" quotePrefix="0" xfId="2">
      <alignment vertical="top" wrapText="1"/>
    </xf>
    <xf numFmtId="0" fontId="7" fillId="3" borderId="10" applyAlignment="1" pivotButton="0" quotePrefix="0" xfId="2">
      <alignment vertical="top" wrapText="1"/>
    </xf>
    <xf numFmtId="0" fontId="21" fillId="0" borderId="0" applyAlignment="1" pivotButton="0" quotePrefix="0" xfId="2">
      <alignment vertical="center"/>
    </xf>
    <xf numFmtId="0" fontId="3" fillId="2" borderId="7" applyAlignment="1" pivotButton="0" quotePrefix="0" xfId="2">
      <alignment horizontal="center" vertical="center"/>
    </xf>
    <xf numFmtId="0" fontId="3" fillId="2" borderId="11" applyAlignment="1" pivotButton="0" quotePrefix="0" xfId="2">
      <alignment horizontal="center" vertical="center"/>
    </xf>
    <xf numFmtId="0" fontId="3" fillId="2" borderId="1" applyAlignment="1" pivotButton="0" quotePrefix="0" xfId="2">
      <alignment horizontal="center" vertical="center"/>
    </xf>
    <xf numFmtId="0" fontId="5" fillId="2" borderId="15" applyAlignment="1" pivotButton="0" quotePrefix="0" xfId="2">
      <alignment horizontal="center" vertical="center" wrapText="1"/>
    </xf>
    <xf numFmtId="0" fontId="5" fillId="2" borderId="16" applyAlignment="1" pivotButton="0" quotePrefix="0" xfId="2">
      <alignment horizontal="center" vertical="center"/>
    </xf>
    <xf numFmtId="0" fontId="5" fillId="2" borderId="17" applyAlignment="1" pivotButton="0" quotePrefix="0" xfId="2">
      <alignment horizontal="center" vertical="center"/>
    </xf>
    <xf numFmtId="0" fontId="5" fillId="2" borderId="18" applyAlignment="1" pivotButton="0" quotePrefix="0" xfId="2">
      <alignment horizontal="center" vertical="center"/>
    </xf>
    <xf numFmtId="0" fontId="3" fillId="4" borderId="4" applyAlignment="1" pivotButton="0" quotePrefix="0" xfId="2">
      <alignment horizontal="center" vertical="center"/>
    </xf>
    <xf numFmtId="0" fontId="5" fillId="2" borderId="4" applyAlignment="1" pivotButton="0" quotePrefix="0" xfId="2">
      <alignment horizontal="center" vertical="center" wrapText="1"/>
    </xf>
    <xf numFmtId="0" fontId="5" fillId="2" borderId="4" applyAlignment="1" pivotButton="0" quotePrefix="0" xfId="2">
      <alignment horizontal="center" vertical="center"/>
    </xf>
    <xf numFmtId="0" fontId="5" fillId="2" borderId="8" applyAlignment="1" pivotButton="0" quotePrefix="0" xfId="2">
      <alignment horizontal="center" vertical="center"/>
    </xf>
    <xf numFmtId="0" fontId="5" fillId="2" borderId="5" applyAlignment="1" pivotButton="0" quotePrefix="0" xfId="2">
      <alignment horizontal="center" vertical="center"/>
    </xf>
    <xf numFmtId="0" fontId="5" fillId="2" borderId="6" applyAlignment="1" pivotButton="0" quotePrefix="0" xfId="2">
      <alignment horizontal="center" vertical="center"/>
    </xf>
    <xf numFmtId="0" fontId="5" fillId="2" borderId="9" applyAlignment="1" pivotButton="0" quotePrefix="0" xfId="2">
      <alignment horizontal="center" vertical="center"/>
    </xf>
    <xf numFmtId="0" fontId="5" fillId="2" borderId="0" applyAlignment="1" pivotButton="0" quotePrefix="0" xfId="2">
      <alignment horizontal="center" vertical="center"/>
    </xf>
    <xf numFmtId="0" fontId="5" fillId="2" borderId="12" applyAlignment="1" pivotButton="0" quotePrefix="0" xfId="2">
      <alignment horizontal="center" vertical="center"/>
    </xf>
    <xf numFmtId="0" fontId="5" fillId="2" borderId="2" applyAlignment="1" pivotButton="0" quotePrefix="0" xfId="2">
      <alignment horizontal="center" vertical="center"/>
    </xf>
    <xf numFmtId="0" fontId="5" fillId="2" borderId="3" applyAlignment="1" pivotButton="0" quotePrefix="0" xfId="2">
      <alignment horizontal="center" vertical="center"/>
    </xf>
    <xf numFmtId="0" fontId="5" fillId="2" borderId="10" applyAlignment="1" pivotButton="0" quotePrefix="0" xfId="2">
      <alignment horizontal="center" vertical="center"/>
    </xf>
    <xf numFmtId="0" fontId="5" fillId="2" borderId="7" applyAlignment="1" pivotButton="0" quotePrefix="0" xfId="2">
      <alignment horizontal="center" vertical="center"/>
    </xf>
    <xf numFmtId="0" fontId="5" fillId="2" borderId="11" applyAlignment="1" pivotButton="0" quotePrefix="0" xfId="2">
      <alignment horizontal="center" vertical="center"/>
    </xf>
    <xf numFmtId="0" fontId="5" fillId="2" borderId="1" applyAlignment="1" pivotButton="0" quotePrefix="0" xfId="2">
      <alignment horizontal="center" vertical="center"/>
    </xf>
    <xf numFmtId="0" fontId="5" fillId="2" borderId="17" applyAlignment="1" pivotButton="0" quotePrefix="0" xfId="2">
      <alignment horizontal="center" vertical="center" wrapText="1"/>
    </xf>
    <xf numFmtId="0" fontId="5" fillId="2" borderId="19" applyAlignment="1" pivotButton="0" quotePrefix="0" xfId="2">
      <alignment horizontal="center" vertical="center"/>
    </xf>
    <xf numFmtId="0" fontId="5" fillId="2" borderId="20" applyAlignment="1" pivotButton="0" quotePrefix="0" xfId="2">
      <alignment horizontal="center" vertical="center"/>
    </xf>
    <xf numFmtId="0" fontId="2" fillId="0" borderId="0" applyAlignment="1" pivotButton="0" quotePrefix="0" xfId="2">
      <alignment horizontal="left" vertical="center"/>
    </xf>
    <xf numFmtId="0" fontId="2" fillId="4" borderId="7" applyAlignment="1" pivotButton="0" quotePrefix="0" xfId="2">
      <alignment horizontal="center" vertical="center"/>
    </xf>
    <xf numFmtId="0" fontId="2" fillId="4" borderId="1" applyAlignment="1" pivotButton="0" quotePrefix="0" xfId="2">
      <alignment horizontal="center" vertical="center"/>
    </xf>
    <xf numFmtId="56" fontId="2" fillId="0" borderId="7" applyAlignment="1" pivotButton="0" quotePrefix="1" xfId="2">
      <alignment horizontal="center" vertical="center"/>
    </xf>
    <xf numFmtId="0" fontId="2" fillId="0" borderId="7" applyAlignment="1" pivotButton="0" quotePrefix="0" xfId="2">
      <alignment horizontal="center" vertical="center"/>
    </xf>
    <xf numFmtId="0" fontId="2" fillId="0" borderId="1" applyAlignment="1" pivotButton="0" quotePrefix="0" xfId="2">
      <alignment horizontal="center" vertical="center"/>
    </xf>
    <xf numFmtId="0" fontId="2" fillId="0" borderId="0" applyAlignment="1" pivotButton="0" quotePrefix="0" xfId="2">
      <alignment horizontal="left" vertical="top" wrapText="1"/>
    </xf>
    <xf numFmtId="0" fontId="21" fillId="0" borderId="0" applyAlignment="1" pivotButton="0" quotePrefix="0" xfId="2">
      <alignment vertical="top" wrapText="1"/>
    </xf>
    <xf numFmtId="0" fontId="10" fillId="8" borderId="7" applyAlignment="1" pivotButton="0" quotePrefix="0" xfId="2">
      <alignment horizontal="center" vertical="top" wrapText="1"/>
    </xf>
    <xf numFmtId="0" fontId="10" fillId="8" borderId="11" applyAlignment="1" pivotButton="0" quotePrefix="0" xfId="2">
      <alignment horizontal="center" vertical="top"/>
    </xf>
    <xf numFmtId="0" fontId="10" fillId="8" borderId="1" applyAlignment="1" pivotButton="0" quotePrefix="0" xfId="2">
      <alignment horizontal="center" vertical="top"/>
    </xf>
    <xf numFmtId="0" fontId="8" fillId="0" borderId="8" applyAlignment="1" pivotButton="0" quotePrefix="0" xfId="2">
      <alignment vertical="top" wrapText="1"/>
    </xf>
    <xf numFmtId="0" fontId="8" fillId="0" borderId="5" applyAlignment="1" pivotButton="0" quotePrefix="0" xfId="2">
      <alignment vertical="top" wrapText="1"/>
    </xf>
    <xf numFmtId="0" fontId="8" fillId="0" borderId="6" applyAlignment="1" pivotButton="0" quotePrefix="0" xfId="2">
      <alignment vertical="top" wrapText="1"/>
    </xf>
    <xf numFmtId="0" fontId="8" fillId="0" borderId="9" applyAlignment="1" pivotButton="0" quotePrefix="0" xfId="2">
      <alignment vertical="top" wrapText="1"/>
    </xf>
    <xf numFmtId="0" fontId="8" fillId="0" borderId="0" applyAlignment="1" pivotButton="0" quotePrefix="0" xfId="2">
      <alignment vertical="top" wrapText="1"/>
    </xf>
    <xf numFmtId="0" fontId="8" fillId="0" borderId="12" applyAlignment="1" pivotButton="0" quotePrefix="0" xfId="2">
      <alignment vertical="top" wrapText="1"/>
    </xf>
    <xf numFmtId="0" fontId="8" fillId="3" borderId="8" applyAlignment="1" pivotButton="0" quotePrefix="0" xfId="2">
      <alignment vertical="top" wrapText="1"/>
    </xf>
    <xf numFmtId="0" fontId="8" fillId="3" borderId="6" applyAlignment="1" pivotButton="0" quotePrefix="0" xfId="2">
      <alignment vertical="top" wrapText="1"/>
    </xf>
    <xf numFmtId="0" fontId="8" fillId="3" borderId="9" applyAlignment="1" pivotButton="0" quotePrefix="0" xfId="2">
      <alignment vertical="top" wrapText="1"/>
    </xf>
    <xf numFmtId="0" fontId="8" fillId="3" borderId="12" applyAlignment="1" pivotButton="0" quotePrefix="0" xfId="2">
      <alignment vertical="top" wrapText="1"/>
    </xf>
    <xf numFmtId="0" fontId="8" fillId="3" borderId="2" applyAlignment="1" pivotButton="0" quotePrefix="0" xfId="2">
      <alignment vertical="top" wrapText="1"/>
    </xf>
    <xf numFmtId="0" fontId="8" fillId="3" borderId="10" applyAlignment="1" pivotButton="0" quotePrefix="0" xfId="2">
      <alignment vertical="top" wrapText="1"/>
    </xf>
    <xf numFmtId="0" fontId="22" fillId="8" borderId="7" applyAlignment="1" pivotButton="0" quotePrefix="0" xfId="2">
      <alignment horizontal="center" vertical="top"/>
    </xf>
    <xf numFmtId="0" fontId="22" fillId="8" borderId="11" applyAlignment="1" pivotButton="0" quotePrefix="0" xfId="2">
      <alignment horizontal="center" vertical="top"/>
    </xf>
    <xf numFmtId="0" fontId="22" fillId="8" borderId="1" applyAlignment="1" pivotButton="0" quotePrefix="0" xfId="2">
      <alignment horizontal="center" vertical="top"/>
    </xf>
    <xf numFmtId="0" fontId="2" fillId="3" borderId="7" applyAlignment="1" pivotButton="0" quotePrefix="0" xfId="2">
      <alignment horizontal="center" vertical="center"/>
    </xf>
    <xf numFmtId="0" fontId="2" fillId="3" borderId="11" applyAlignment="1" pivotButton="0" quotePrefix="0" xfId="2">
      <alignment horizontal="center" vertical="center"/>
    </xf>
    <xf numFmtId="0" fontId="2" fillId="3" borderId="1" applyAlignment="1" pivotButton="0" quotePrefix="0" xfId="2">
      <alignment horizontal="center" vertical="center"/>
    </xf>
    <xf numFmtId="0" fontId="2" fillId="3" borderId="8" applyAlignment="1" pivotButton="0" quotePrefix="0" xfId="2">
      <alignment horizontal="left" vertical="top" wrapText="1"/>
    </xf>
    <xf numFmtId="0" fontId="9" fillId="0" borderId="6" applyAlignment="1" pivotButton="0" quotePrefix="0" xfId="0">
      <alignment horizontal="left" vertical="top" wrapText="1"/>
    </xf>
    <xf numFmtId="0" fontId="9" fillId="0" borderId="9" applyAlignment="1" pivotButton="0" quotePrefix="0" xfId="0">
      <alignment horizontal="left" vertical="top" wrapText="1"/>
    </xf>
    <xf numFmtId="0" fontId="9" fillId="0" borderId="12" applyAlignment="1" pivotButton="0" quotePrefix="0" xfId="0">
      <alignment horizontal="left" vertical="top" wrapText="1"/>
    </xf>
    <xf numFmtId="0" fontId="8" fillId="0" borderId="2" applyAlignment="1" pivotButton="0" quotePrefix="0" xfId="2">
      <alignment vertical="top" wrapText="1"/>
    </xf>
    <xf numFmtId="0" fontId="8" fillId="0" borderId="3" applyAlignment="1" pivotButton="0" quotePrefix="0" xfId="2">
      <alignment vertical="top" wrapText="1"/>
    </xf>
    <xf numFmtId="0" fontId="8" fillId="0" borderId="10" applyAlignment="1" pivotButton="0" quotePrefix="0" xfId="2">
      <alignment vertical="top" wrapText="1"/>
    </xf>
    <xf numFmtId="0" fontId="21" fillId="0" borderId="8" applyAlignment="1" pivotButton="0" quotePrefix="0" xfId="2">
      <alignment vertical="top" wrapText="1"/>
    </xf>
    <xf numFmtId="0" fontId="21" fillId="0" borderId="5" applyAlignment="1" pivotButton="0" quotePrefix="0" xfId="2">
      <alignment vertical="top" wrapText="1"/>
    </xf>
    <xf numFmtId="0" fontId="21" fillId="0" borderId="6" applyAlignment="1" pivotButton="0" quotePrefix="0" xfId="2">
      <alignment vertical="top" wrapText="1"/>
    </xf>
    <xf numFmtId="0" fontId="21" fillId="0" borderId="9" applyAlignment="1" pivotButton="0" quotePrefix="0" xfId="2">
      <alignment vertical="top" wrapText="1"/>
    </xf>
    <xf numFmtId="0" fontId="21" fillId="0" borderId="12" applyAlignment="1" pivotButton="0" quotePrefix="0" xfId="2">
      <alignment vertical="top" wrapText="1"/>
    </xf>
    <xf numFmtId="0" fontId="10" fillId="7" borderId="7" applyAlignment="1" pivotButton="0" quotePrefix="0" xfId="2">
      <alignment horizontal="center" vertical="top"/>
    </xf>
    <xf numFmtId="0" fontId="10" fillId="7" borderId="11" applyAlignment="1" pivotButton="0" quotePrefix="0" xfId="2">
      <alignment horizontal="center" vertical="top"/>
    </xf>
    <xf numFmtId="0" fontId="10" fillId="7" borderId="1" applyAlignment="1" pivotButton="0" quotePrefix="0" xfId="2">
      <alignment horizontal="center" vertical="top"/>
    </xf>
    <xf numFmtId="0" fontId="2" fillId="3" borderId="13" applyAlignment="1" pivotButton="0" quotePrefix="0" xfId="2">
      <alignment horizontal="left" vertical="top" wrapText="1"/>
    </xf>
    <xf numFmtId="0" fontId="9" fillId="0" borderId="14" applyAlignment="1" pivotButton="0" quotePrefix="0" xfId="0">
      <alignment horizontal="left" vertical="top" wrapText="1"/>
    </xf>
    <xf numFmtId="0" fontId="9" fillId="0" borderId="2" applyAlignment="1" pivotButton="0" quotePrefix="0" xfId="0">
      <alignment horizontal="left" vertical="top" wrapText="1"/>
    </xf>
    <xf numFmtId="0" fontId="9" fillId="0" borderId="10" applyAlignment="1" pivotButton="0" quotePrefix="0" xfId="0">
      <alignment horizontal="left" vertical="top" wrapText="1"/>
    </xf>
    <xf numFmtId="0" fontId="8" fillId="0" borderId="13" applyAlignment="1" pivotButton="0" quotePrefix="0" xfId="2">
      <alignment vertical="top" wrapText="1"/>
    </xf>
    <xf numFmtId="0" fontId="8" fillId="0" borderId="21" applyAlignment="1" pivotButton="0" quotePrefix="0" xfId="2">
      <alignment vertical="top" wrapText="1"/>
    </xf>
    <xf numFmtId="0" fontId="8" fillId="0" borderId="14" applyAlignment="1" pivotButton="0" quotePrefix="0" xfId="2">
      <alignment vertical="top" wrapText="1"/>
    </xf>
    <xf numFmtId="0" fontId="7" fillId="0" borderId="9" applyAlignment="1" pivotButton="0" quotePrefix="0" xfId="2">
      <alignment vertical="top" wrapText="1"/>
    </xf>
    <xf numFmtId="0" fontId="7" fillId="0" borderId="0" applyAlignment="1" pivotButton="0" quotePrefix="0" xfId="2">
      <alignment vertical="top" wrapText="1"/>
    </xf>
    <xf numFmtId="0" fontId="7" fillId="0" borderId="12" applyAlignment="1" pivotButton="0" quotePrefix="0" xfId="2">
      <alignment vertical="top" wrapText="1"/>
    </xf>
    <xf numFmtId="0" fontId="2" fillId="0" borderId="11" applyAlignment="1" pivotButton="0" quotePrefix="0" xfId="2">
      <alignment horizontal="center" vertical="center"/>
    </xf>
    <xf numFmtId="0" fontId="2" fillId="0" borderId="8" applyAlignment="1" pivotButton="0" quotePrefix="0" xfId="2">
      <alignment horizontal="left" vertical="top" wrapText="1"/>
    </xf>
    <xf numFmtId="0" fontId="2" fillId="0" borderId="8" applyAlignment="1" pivotButton="0" quotePrefix="0" xfId="2">
      <alignment vertical="top" wrapText="1"/>
    </xf>
    <xf numFmtId="0" fontId="2" fillId="0" borderId="5" applyAlignment="1" pivotButton="0" quotePrefix="0" xfId="2">
      <alignment vertical="top" wrapText="1"/>
    </xf>
    <xf numFmtId="0" fontId="2" fillId="0" borderId="6" applyAlignment="1" pivotButton="0" quotePrefix="0" xfId="2">
      <alignment vertical="top" wrapText="1"/>
    </xf>
    <xf numFmtId="0" fontId="7" fillId="6" borderId="7" applyAlignment="1" pivotButton="0" quotePrefix="0" xfId="2">
      <alignment horizontal="center" vertical="top"/>
    </xf>
    <xf numFmtId="0" fontId="7" fillId="6" borderId="11" applyAlignment="1" pivotButton="0" quotePrefix="0" xfId="2">
      <alignment horizontal="center" vertical="top"/>
    </xf>
    <xf numFmtId="0" fontId="7" fillId="0" borderId="8" applyAlignment="1" pivotButton="0" quotePrefix="0" xfId="2">
      <alignment horizontal="left" vertical="top" wrapText="1"/>
    </xf>
    <xf numFmtId="0" fontId="7" fillId="0" borderId="5" applyAlignment="1" pivotButton="0" quotePrefix="0" xfId="2">
      <alignment horizontal="left" vertical="top" wrapText="1"/>
    </xf>
    <xf numFmtId="0" fontId="7" fillId="0" borderId="6" applyAlignment="1" pivotButton="0" quotePrefix="0" xfId="2">
      <alignment horizontal="left" vertical="top" wrapText="1"/>
    </xf>
    <xf numFmtId="0" fontId="7" fillId="0" borderId="9" applyAlignment="1" pivotButton="0" quotePrefix="0" xfId="2">
      <alignment horizontal="left" vertical="top" wrapText="1"/>
    </xf>
    <xf numFmtId="0" fontId="7" fillId="0" borderId="0" applyAlignment="1" pivotButton="0" quotePrefix="0" xfId="2">
      <alignment horizontal="left" vertical="top" wrapText="1"/>
    </xf>
    <xf numFmtId="0" fontId="7" fillId="0" borderId="12" applyAlignment="1" pivotButton="0" quotePrefix="0" xfId="2">
      <alignment horizontal="left" vertical="top" wrapText="1"/>
    </xf>
    <xf numFmtId="0" fontId="7" fillId="0" borderId="2" applyAlignment="1" pivotButton="0" quotePrefix="0" xfId="2">
      <alignment horizontal="left" vertical="top" wrapText="1"/>
    </xf>
    <xf numFmtId="0" fontId="7" fillId="0" borderId="3" applyAlignment="1" pivotButton="0" quotePrefix="0" xfId="2">
      <alignment horizontal="left" vertical="top" wrapText="1"/>
    </xf>
    <xf numFmtId="0" fontId="7" fillId="0" borderId="10" applyAlignment="1" pivotButton="0" quotePrefix="0" xfId="2">
      <alignment horizontal="left" vertical="top" wrapText="1"/>
    </xf>
    <xf numFmtId="0" fontId="7" fillId="6" borderId="1" applyAlignment="1" pivotButton="0" quotePrefix="0" xfId="2">
      <alignment horizontal="center" vertical="top"/>
    </xf>
    <xf numFmtId="0" fontId="2" fillId="0" borderId="13" applyAlignment="1" pivotButton="0" quotePrefix="0" xfId="2">
      <alignment horizontal="left" vertical="top" wrapText="1"/>
    </xf>
    <xf numFmtId="0" fontId="7" fillId="0" borderId="8" applyAlignment="1" pivotButton="0" quotePrefix="0" xfId="2">
      <alignment vertical="top" wrapText="1"/>
    </xf>
    <xf numFmtId="0" fontId="7" fillId="0" borderId="5" applyAlignment="1" pivotButton="0" quotePrefix="0" xfId="2">
      <alignment vertical="top" wrapText="1"/>
    </xf>
    <xf numFmtId="0" fontId="7" fillId="0" borderId="6" applyAlignment="1" pivotButton="0" quotePrefix="0" xfId="2">
      <alignment vertical="top" wrapText="1"/>
    </xf>
    <xf numFmtId="0" fontId="7" fillId="0" borderId="2" applyAlignment="1" pivotButton="0" quotePrefix="0" xfId="2">
      <alignment vertical="top" wrapText="1"/>
    </xf>
    <xf numFmtId="0" fontId="7" fillId="0" borderId="3" applyAlignment="1" pivotButton="0" quotePrefix="0" xfId="2">
      <alignment vertical="top" wrapText="1"/>
    </xf>
    <xf numFmtId="0" fontId="7" fillId="0" borderId="10" applyAlignment="1" pivotButton="0" quotePrefix="0" xfId="2">
      <alignment vertical="top" wrapText="1"/>
    </xf>
    <xf numFmtId="0" fontId="7" fillId="0" borderId="8" applyAlignment="1" pivotButton="0" quotePrefix="0" xfId="2">
      <alignment horizontal="center" vertical="top" wrapText="1"/>
    </xf>
    <xf numFmtId="0" fontId="7" fillId="0" borderId="5" applyAlignment="1" pivotButton="0" quotePrefix="0" xfId="2">
      <alignment horizontal="center" vertical="top" wrapText="1"/>
    </xf>
    <xf numFmtId="0" fontId="7" fillId="0" borderId="6" applyAlignment="1" pivotButton="0" quotePrefix="0" xfId="2">
      <alignment horizontal="center" vertical="top" wrapText="1"/>
    </xf>
    <xf numFmtId="0" fontId="7" fillId="0" borderId="9" applyAlignment="1" pivotButton="0" quotePrefix="0" xfId="2">
      <alignment horizontal="center" vertical="top" wrapText="1"/>
    </xf>
    <xf numFmtId="0" fontId="7" fillId="0" borderId="0" applyAlignment="1" pivotButton="0" quotePrefix="0" xfId="2">
      <alignment horizontal="center" vertical="top" wrapText="1"/>
    </xf>
    <xf numFmtId="0" fontId="7" fillId="0" borderId="12" applyAlignment="1" pivotButton="0" quotePrefix="0" xfId="2">
      <alignment horizontal="center" vertical="top" wrapText="1"/>
    </xf>
    <xf numFmtId="0" fontId="7" fillId="0" borderId="2" applyAlignment="1" pivotButton="0" quotePrefix="0" xfId="2">
      <alignment horizontal="center" vertical="top" wrapText="1"/>
    </xf>
    <xf numFmtId="0" fontId="7" fillId="0" borderId="3" applyAlignment="1" pivotButton="0" quotePrefix="0" xfId="2">
      <alignment horizontal="center" vertical="top" wrapText="1"/>
    </xf>
    <xf numFmtId="0" fontId="7" fillId="0" borderId="10" applyAlignment="1" pivotButton="0" quotePrefix="0" xfId="2">
      <alignment horizontal="center" vertical="top" wrapText="1"/>
    </xf>
    <xf numFmtId="0" fontId="10" fillId="6" borderId="7" applyAlignment="1" pivotButton="0" quotePrefix="0" xfId="2">
      <alignment horizontal="center" vertical="top" wrapText="1"/>
    </xf>
    <xf numFmtId="0" fontId="10" fillId="6" borderId="11" applyAlignment="1" pivotButton="0" quotePrefix="0" xfId="2">
      <alignment horizontal="center" vertical="top"/>
    </xf>
    <xf numFmtId="0" fontId="10" fillId="6" borderId="1" applyAlignment="1" pivotButton="0" quotePrefix="0" xfId="2">
      <alignment horizontal="center" vertical="top"/>
    </xf>
    <xf numFmtId="0" fontId="8" fillId="5" borderId="8" applyAlignment="1" pivotButton="0" quotePrefix="0" xfId="2">
      <alignment vertical="top" wrapText="1"/>
    </xf>
    <xf numFmtId="0" fontId="8" fillId="5" borderId="6" applyAlignment="1" pivotButton="0" quotePrefix="0" xfId="2">
      <alignment vertical="top" wrapText="1"/>
    </xf>
    <xf numFmtId="0" fontId="8" fillId="5" borderId="9" applyAlignment="1" pivotButton="0" quotePrefix="0" xfId="2">
      <alignment vertical="top" wrapText="1"/>
    </xf>
    <xf numFmtId="0" fontId="8" fillId="5" borderId="12" applyAlignment="1" pivotButton="0" quotePrefix="0" xfId="2">
      <alignment vertical="top" wrapText="1"/>
    </xf>
    <xf numFmtId="0" fontId="7" fillId="5" borderId="8" applyAlignment="1" pivotButton="0" quotePrefix="0" xfId="2">
      <alignment horizontal="center" vertical="top" wrapText="1"/>
    </xf>
    <xf numFmtId="0" fontId="7" fillId="5" borderId="5" applyAlignment="1" pivotButton="0" quotePrefix="0" xfId="2">
      <alignment horizontal="center" vertical="top" wrapText="1"/>
    </xf>
    <xf numFmtId="0" fontId="7" fillId="5" borderId="6" applyAlignment="1" pivotButton="0" quotePrefix="0" xfId="2">
      <alignment horizontal="center" vertical="top" wrapText="1"/>
    </xf>
    <xf numFmtId="0" fontId="7" fillId="5" borderId="9" applyAlignment="1" pivotButton="0" quotePrefix="0" xfId="2">
      <alignment horizontal="center" vertical="top" wrapText="1"/>
    </xf>
    <xf numFmtId="0" fontId="7" fillId="5" borderId="0" applyAlignment="1" pivotButton="0" quotePrefix="0" xfId="2">
      <alignment horizontal="center" vertical="top" wrapText="1"/>
    </xf>
    <xf numFmtId="0" fontId="7" fillId="5" borderId="12" applyAlignment="1" pivotButton="0" quotePrefix="0" xfId="2">
      <alignment horizontal="center" vertical="top" wrapText="1"/>
    </xf>
    <xf numFmtId="0" fontId="7" fillId="5" borderId="2" applyAlignment="1" pivotButton="0" quotePrefix="0" xfId="2">
      <alignment horizontal="center" vertical="top" wrapText="1"/>
    </xf>
    <xf numFmtId="0" fontId="7" fillId="5" borderId="3" applyAlignment="1" pivotButton="0" quotePrefix="0" xfId="2">
      <alignment horizontal="center" vertical="top" wrapText="1"/>
    </xf>
    <xf numFmtId="0" fontId="7" fillId="5" borderId="10" applyAlignment="1" pivotButton="0" quotePrefix="0" xfId="2">
      <alignment horizontal="center" vertical="top" wrapText="1"/>
    </xf>
    <xf numFmtId="0" fontId="10" fillId="5" borderId="7" applyAlignment="1" pivotButton="0" quotePrefix="0" xfId="2">
      <alignment horizontal="center" vertical="top" wrapText="1"/>
    </xf>
    <xf numFmtId="0" fontId="10" fillId="5" borderId="11" applyAlignment="1" pivotButton="0" quotePrefix="0" xfId="2">
      <alignment horizontal="center" vertical="top"/>
    </xf>
    <xf numFmtId="0" fontId="10" fillId="5" borderId="1" applyAlignment="1" pivotButton="0" quotePrefix="0" xfId="2">
      <alignment horizontal="center" vertical="top"/>
    </xf>
    <xf numFmtId="0" fontId="21" fillId="0" borderId="8" applyAlignment="1" pivotButton="0" quotePrefix="0" xfId="2">
      <alignment horizontal="left" vertical="top" wrapText="1"/>
    </xf>
    <xf numFmtId="0" fontId="21" fillId="0" borderId="5" applyAlignment="1" pivotButton="0" quotePrefix="0" xfId="2">
      <alignment horizontal="left" vertical="top" wrapText="1"/>
    </xf>
    <xf numFmtId="0" fontId="21" fillId="0" borderId="6" applyAlignment="1" pivotButton="0" quotePrefix="0" xfId="2">
      <alignment horizontal="left" vertical="top" wrapText="1"/>
    </xf>
    <xf numFmtId="0" fontId="21" fillId="0" borderId="9" applyAlignment="1" pivotButton="0" quotePrefix="0" xfId="2">
      <alignment horizontal="left" vertical="top" wrapText="1"/>
    </xf>
    <xf numFmtId="0" fontId="21" fillId="0" borderId="0" applyAlignment="1" pivotButton="0" quotePrefix="0" xfId="2">
      <alignment horizontal="left" vertical="top" wrapText="1"/>
    </xf>
    <xf numFmtId="0" fontId="21" fillId="0" borderId="12" applyAlignment="1" pivotButton="0" quotePrefix="0" xfId="2">
      <alignment horizontal="left" vertical="top" wrapText="1"/>
    </xf>
    <xf numFmtId="0" fontId="21" fillId="0" borderId="2" applyAlignment="1" pivotButton="0" quotePrefix="0" xfId="2">
      <alignment horizontal="left" vertical="top" wrapText="1"/>
    </xf>
    <xf numFmtId="0" fontId="21" fillId="0" borderId="3" applyAlignment="1" pivotButton="0" quotePrefix="0" xfId="2">
      <alignment horizontal="left" vertical="top" wrapText="1"/>
    </xf>
    <xf numFmtId="0" fontId="21" fillId="0" borderId="10" applyAlignment="1" pivotButton="0" quotePrefix="0" xfId="2">
      <alignment horizontal="left" vertical="top" wrapText="1"/>
    </xf>
    <xf numFmtId="0" fontId="18" fillId="3" borderId="7" applyAlignment="1" pivotButton="0" quotePrefix="0" xfId="2">
      <alignment horizontal="center" vertical="center"/>
    </xf>
    <xf numFmtId="0" fontId="18" fillId="3" borderId="11" applyAlignment="1" pivotButton="0" quotePrefix="0" xfId="2">
      <alignment horizontal="center" vertical="center"/>
    </xf>
    <xf numFmtId="0" fontId="18" fillId="3" borderId="1" applyAlignment="1" pivotButton="0" quotePrefix="0" xfId="2">
      <alignment horizontal="center" vertical="center"/>
    </xf>
    <xf numFmtId="0" fontId="21" fillId="0" borderId="2" applyAlignment="1" pivotButton="0" quotePrefix="0" xfId="2">
      <alignment vertical="top" wrapText="1"/>
    </xf>
    <xf numFmtId="0" fontId="21" fillId="0" borderId="3" applyAlignment="1" pivotButton="0" quotePrefix="0" xfId="2">
      <alignment vertical="top" wrapText="1"/>
    </xf>
    <xf numFmtId="0" fontId="21" fillId="0" borderId="10" applyAlignment="1" pivotButton="0" quotePrefix="0" xfId="2">
      <alignment vertical="top" wrapText="1"/>
    </xf>
    <xf numFmtId="0" fontId="7" fillId="5" borderId="8" applyAlignment="1" pivotButton="0" quotePrefix="0" xfId="2">
      <alignment vertical="top" wrapText="1"/>
    </xf>
    <xf numFmtId="0" fontId="7" fillId="5" borderId="5" applyAlignment="1" pivotButton="0" quotePrefix="0" xfId="2">
      <alignment vertical="top" wrapText="1"/>
    </xf>
    <xf numFmtId="0" fontId="7" fillId="5" borderId="6" applyAlignment="1" pivotButton="0" quotePrefix="0" xfId="2">
      <alignment vertical="top" wrapText="1"/>
    </xf>
    <xf numFmtId="0" fontId="7" fillId="5" borderId="9" applyAlignment="1" pivotButton="0" quotePrefix="0" xfId="2">
      <alignment vertical="top" wrapText="1"/>
    </xf>
    <xf numFmtId="0" fontId="7" fillId="5" borderId="0" applyAlignment="1" pivotButton="0" quotePrefix="0" xfId="2">
      <alignment vertical="top" wrapText="1"/>
    </xf>
    <xf numFmtId="0" fontId="7" fillId="5" borderId="12" applyAlignment="1" pivotButton="0" quotePrefix="0" xfId="2">
      <alignment vertical="top" wrapText="1"/>
    </xf>
    <xf numFmtId="0" fontId="7" fillId="5" borderId="2" applyAlignment="1" pivotButton="0" quotePrefix="0" xfId="2">
      <alignment vertical="top" wrapText="1"/>
    </xf>
    <xf numFmtId="0" fontId="7" fillId="5" borderId="3" applyAlignment="1" pivotButton="0" quotePrefix="0" xfId="2">
      <alignment vertical="top" wrapText="1"/>
    </xf>
    <xf numFmtId="0" fontId="7" fillId="5" borderId="10" applyAlignment="1" pivotButton="0" quotePrefix="0" xfId="2">
      <alignment vertical="top" wrapText="1"/>
    </xf>
    <xf numFmtId="0" fontId="7" fillId="5" borderId="7" applyAlignment="1" pivotButton="0" quotePrefix="0" xfId="2">
      <alignment horizontal="center" vertical="top"/>
    </xf>
    <xf numFmtId="0" fontId="7" fillId="5" borderId="11" applyAlignment="1" pivotButton="0" quotePrefix="0" xfId="2">
      <alignment horizontal="center" vertical="top"/>
    </xf>
    <xf numFmtId="0" fontId="7" fillId="3" borderId="8" applyAlignment="1" pivotButton="0" quotePrefix="0" xfId="2">
      <alignment horizontal="left" vertical="top" wrapText="1"/>
    </xf>
    <xf numFmtId="0" fontId="0" fillId="0" borderId="6" applyAlignment="1" pivotButton="0" quotePrefix="0" xfId="0">
      <alignment horizontal="left" vertical="top" wrapText="1"/>
    </xf>
    <xf numFmtId="0" fontId="0" fillId="0" borderId="9" applyAlignment="1" pivotButton="0" quotePrefix="0" xfId="0">
      <alignment horizontal="left" vertical="top" wrapText="1"/>
    </xf>
    <xf numFmtId="0" fontId="0" fillId="0" borderId="12" applyAlignment="1" pivotButton="0" quotePrefix="0" xfId="0">
      <alignment horizontal="left" vertical="top" wrapText="1"/>
    </xf>
    <xf numFmtId="0" fontId="8" fillId="0" borderId="4" applyAlignment="1" pivotButton="0" quotePrefix="0" xfId="5">
      <alignment horizontal="left" vertical="top" wrapText="1"/>
    </xf>
    <xf numFmtId="0" fontId="8" fillId="0" borderId="4" applyAlignment="1" pivotButton="0" quotePrefix="0" xfId="5">
      <alignment horizontal="left" vertical="top"/>
    </xf>
    <xf numFmtId="0" fontId="8" fillId="3" borderId="4" applyAlignment="1" pivotButton="0" quotePrefix="0" xfId="5">
      <alignment horizontal="left" vertical="top" wrapText="1"/>
    </xf>
    <xf numFmtId="0" fontId="8" fillId="3" borderId="4" applyAlignment="1" pivotButton="0" quotePrefix="0" xfId="5">
      <alignment horizontal="left" vertical="top"/>
    </xf>
    <xf numFmtId="0" fontId="7" fillId="3" borderId="13" applyAlignment="1" pivotButton="0" quotePrefix="0" xfId="2">
      <alignment horizontal="left" vertical="top" wrapText="1"/>
    </xf>
    <xf numFmtId="0" fontId="0" fillId="0" borderId="14" applyAlignment="1" pivotButton="0" quotePrefix="0" xfId="0">
      <alignment horizontal="left" vertical="top" wrapText="1"/>
    </xf>
    <xf numFmtId="0" fontId="0" fillId="0" borderId="2" applyAlignment="1" pivotButton="0" quotePrefix="0" xfId="0">
      <alignment horizontal="left" vertical="top" wrapText="1"/>
    </xf>
    <xf numFmtId="0" fontId="0" fillId="0" borderId="10" applyAlignment="1" pivotButton="0" quotePrefix="0" xfId="0">
      <alignment horizontal="left" vertical="top" wrapText="1"/>
    </xf>
    <xf numFmtId="0" fontId="8" fillId="0" borderId="4" applyAlignment="1" pivotButton="0" quotePrefix="0" xfId="2">
      <alignment horizontal="left" vertical="top" wrapText="1"/>
    </xf>
    <xf numFmtId="0" fontId="8" fillId="0" borderId="4" applyAlignment="1" pivotButton="0" quotePrefix="0" xfId="2">
      <alignment horizontal="left" vertical="top"/>
    </xf>
    <xf numFmtId="0" fontId="8" fillId="3" borderId="4" applyAlignment="1" pivotButton="0" quotePrefix="0" xfId="2">
      <alignment horizontal="left" vertical="top" wrapText="1"/>
    </xf>
    <xf numFmtId="0" fontId="8" fillId="3" borderId="4" applyAlignment="1" pivotButton="0" quotePrefix="0" xfId="2">
      <alignment horizontal="left" vertical="top"/>
    </xf>
    <xf numFmtId="0" fontId="7" fillId="6" borderId="7" applyAlignment="1" pivotButton="0" quotePrefix="0" xfId="2">
      <alignment horizontal="center" vertical="center" wrapText="1"/>
    </xf>
    <xf numFmtId="0" fontId="7" fillId="6" borderId="11" applyAlignment="1" pivotButton="0" quotePrefix="0" xfId="2">
      <alignment horizontal="center" vertical="center"/>
    </xf>
    <xf numFmtId="0" fontId="7" fillId="6" borderId="1" applyAlignment="1" pivotButton="0" quotePrefix="0" xfId="2">
      <alignment horizontal="center" vertical="center"/>
    </xf>
    <xf numFmtId="0" fontId="10" fillId="9" borderId="7" applyAlignment="1" pivotButton="0" quotePrefix="0" xfId="2">
      <alignment horizontal="center" vertical="top"/>
    </xf>
    <xf numFmtId="0" fontId="10" fillId="9" borderId="11" applyAlignment="1" pivotButton="0" quotePrefix="0" xfId="2">
      <alignment horizontal="center" vertical="top"/>
    </xf>
    <xf numFmtId="0" fontId="10" fillId="9" borderId="1" applyAlignment="1" pivotButton="0" quotePrefix="0" xfId="2">
      <alignment horizontal="center" vertical="top"/>
    </xf>
    <xf numFmtId="0" fontId="21" fillId="3" borderId="8" applyAlignment="1" pivotButton="0" quotePrefix="0" xfId="2">
      <alignment vertical="top" wrapText="1"/>
    </xf>
    <xf numFmtId="0" fontId="21" fillId="3" borderId="5" applyAlignment="1" pivotButton="0" quotePrefix="0" xfId="2">
      <alignment vertical="top" wrapText="1"/>
    </xf>
    <xf numFmtId="0" fontId="21" fillId="3" borderId="6" applyAlignment="1" pivotButton="0" quotePrefix="0" xfId="2">
      <alignment vertical="top" wrapText="1"/>
    </xf>
    <xf numFmtId="0" fontId="21" fillId="3" borderId="9" applyAlignment="1" pivotButton="0" quotePrefix="0" xfId="2">
      <alignment vertical="top" wrapText="1"/>
    </xf>
    <xf numFmtId="0" fontId="21" fillId="3" borderId="0" applyAlignment="1" pivotButton="0" quotePrefix="0" xfId="2">
      <alignment vertical="top" wrapText="1"/>
    </xf>
    <xf numFmtId="0" fontId="21" fillId="3" borderId="12" applyAlignment="1" pivotButton="0" quotePrefix="0" xfId="2">
      <alignment vertical="top" wrapText="1"/>
    </xf>
    <xf numFmtId="0" fontId="18" fillId="3" borderId="13" applyAlignment="1" pivotButton="0" quotePrefix="0" xfId="2">
      <alignment vertical="top" wrapText="1"/>
    </xf>
    <xf numFmtId="0" fontId="18" fillId="3" borderId="21" applyAlignment="1" pivotButton="0" quotePrefix="0" xfId="2">
      <alignment vertical="top" wrapText="1"/>
    </xf>
    <xf numFmtId="0" fontId="18" fillId="3" borderId="14" applyAlignment="1" pivotButton="0" quotePrefix="0" xfId="2">
      <alignment vertical="top" wrapText="1"/>
    </xf>
    <xf numFmtId="0" fontId="18" fillId="3" borderId="2" applyAlignment="1" pivotButton="0" quotePrefix="0" xfId="2">
      <alignment vertical="top" wrapText="1"/>
    </xf>
    <xf numFmtId="0" fontId="18" fillId="3" borderId="3" applyAlignment="1" pivotButton="0" quotePrefix="0" xfId="2">
      <alignment vertical="top" wrapText="1"/>
    </xf>
    <xf numFmtId="0" fontId="18" fillId="3" borderId="10" applyAlignment="1" pivotButton="0" quotePrefix="0" xfId="2">
      <alignment vertical="top" wrapText="1"/>
    </xf>
    <xf numFmtId="0" fontId="7" fillId="3" borderId="7" applyAlignment="1" pivotButton="0" quotePrefix="0" xfId="2">
      <alignment horizontal="center" vertical="center"/>
    </xf>
    <xf numFmtId="0" fontId="7" fillId="3" borderId="11" applyAlignment="1" pivotButton="0" quotePrefix="0" xfId="2">
      <alignment horizontal="center" vertical="center"/>
    </xf>
    <xf numFmtId="0" fontId="7" fillId="3" borderId="1" applyAlignment="1" pivotButton="0" quotePrefix="0" xfId="2">
      <alignment horizontal="center" vertical="center"/>
    </xf>
    <xf numFmtId="0" fontId="21" fillId="3" borderId="2" applyAlignment="1" pivotButton="0" quotePrefix="0" xfId="2">
      <alignment vertical="top" wrapText="1"/>
    </xf>
    <xf numFmtId="0" fontId="21" fillId="3" borderId="3" applyAlignment="1" pivotButton="0" quotePrefix="0" xfId="2">
      <alignment vertical="top" wrapText="1"/>
    </xf>
    <xf numFmtId="0" fontId="21" fillId="3" borderId="10" applyAlignment="1" pivotButton="0" quotePrefix="0" xfId="2">
      <alignment vertical="top" wrapText="1"/>
    </xf>
    <xf numFmtId="0" fontId="18" fillId="0" borderId="8" applyAlignment="1" pivotButton="0" quotePrefix="0" xfId="2">
      <alignment vertical="top" wrapText="1"/>
    </xf>
    <xf numFmtId="0" fontId="18" fillId="0" borderId="5" applyAlignment="1" pivotButton="0" quotePrefix="0" xfId="2">
      <alignment vertical="top" wrapText="1"/>
    </xf>
    <xf numFmtId="0" fontId="18" fillId="0" borderId="6" applyAlignment="1" pivotButton="0" quotePrefix="0" xfId="2">
      <alignment vertical="top" wrapText="1"/>
    </xf>
    <xf numFmtId="0" fontId="18" fillId="0" borderId="9" applyAlignment="1" pivotButton="0" quotePrefix="0" xfId="2">
      <alignment vertical="top" wrapText="1"/>
    </xf>
    <xf numFmtId="0" fontId="18" fillId="0" borderId="0" applyAlignment="1" pivotButton="0" quotePrefix="0" xfId="2">
      <alignment vertical="top" wrapText="1"/>
    </xf>
    <xf numFmtId="0" fontId="18" fillId="0" borderId="12" applyAlignment="1" pivotButton="0" quotePrefix="0" xfId="2">
      <alignment vertical="top" wrapText="1"/>
    </xf>
    <xf numFmtId="0" fontId="7" fillId="3" borderId="22" applyAlignment="1" pivotButton="0" quotePrefix="0" xfId="2">
      <alignment vertical="top" wrapText="1"/>
    </xf>
    <xf numFmtId="0" fontId="7" fillId="3" borderId="24" applyAlignment="1" pivotButton="0" quotePrefix="0" xfId="2">
      <alignment vertical="top" wrapText="1"/>
    </xf>
    <xf numFmtId="0" fontId="7" fillId="3" borderId="23" applyAlignment="1" pivotButton="0" quotePrefix="0" xfId="2">
      <alignment vertical="top" wrapText="1"/>
    </xf>
    <xf numFmtId="0" fontId="7" fillId="3" borderId="8" applyAlignment="1" pivotButton="0" quotePrefix="0" xfId="2">
      <alignment vertical="top" wrapText="1"/>
    </xf>
    <xf numFmtId="0" fontId="7" fillId="3" borderId="5" applyAlignment="1" pivotButton="0" quotePrefix="0" xfId="2">
      <alignment vertical="top" wrapText="1"/>
    </xf>
    <xf numFmtId="0" fontId="7" fillId="3" borderId="6" applyAlignment="1" pivotButton="0" quotePrefix="0" xfId="2">
      <alignment vertical="top" wrapText="1"/>
    </xf>
    <xf numFmtId="0" fontId="7" fillId="3" borderId="2" applyAlignment="1" pivotButton="0" quotePrefix="0" xfId="2">
      <alignment vertical="top" wrapText="1"/>
    </xf>
    <xf numFmtId="0" fontId="7" fillId="3" borderId="3" applyAlignment="1" pivotButton="0" quotePrefix="0" xfId="2">
      <alignment vertical="top" wrapText="1"/>
    </xf>
    <xf numFmtId="0" fontId="7" fillId="3" borderId="10" applyAlignment="1" pivotButton="0" quotePrefix="0" xfId="2">
      <alignment vertical="top" wrapText="1"/>
    </xf>
    <xf numFmtId="0" fontId="18" fillId="3" borderId="8" applyAlignment="1" pivotButton="0" quotePrefix="0" xfId="2">
      <alignment horizontal="left" vertical="top" wrapText="1"/>
    </xf>
    <xf numFmtId="0" fontId="13" fillId="3" borderId="6" applyAlignment="1" pivotButton="0" quotePrefix="0" xfId="0">
      <alignment horizontal="left" vertical="top" wrapText="1"/>
    </xf>
    <xf numFmtId="0" fontId="13" fillId="3" borderId="9" applyAlignment="1" pivotButton="0" quotePrefix="0" xfId="0">
      <alignment horizontal="left" vertical="top" wrapText="1"/>
    </xf>
    <xf numFmtId="0" fontId="13" fillId="3" borderId="12" applyAlignment="1" pivotButton="0" quotePrefix="0" xfId="0">
      <alignment horizontal="left" vertical="top" wrapText="1"/>
    </xf>
    <xf numFmtId="0" fontId="17" fillId="3" borderId="4" applyAlignment="1" pivotButton="0" quotePrefix="0" xfId="5">
      <alignment horizontal="left" vertical="top" wrapText="1"/>
    </xf>
    <xf numFmtId="0" fontId="17" fillId="3" borderId="4" applyAlignment="1" pivotButton="0" quotePrefix="0" xfId="5">
      <alignment horizontal="left" vertical="top"/>
    </xf>
    <xf numFmtId="0" fontId="7" fillId="3" borderId="9" applyAlignment="1" pivotButton="0" quotePrefix="0" xfId="2">
      <alignment vertical="top" wrapText="1"/>
    </xf>
    <xf numFmtId="0" fontId="7" fillId="3" borderId="0" applyAlignment="1" pivotButton="0" quotePrefix="0" xfId="2">
      <alignment vertical="top" wrapText="1"/>
    </xf>
    <xf numFmtId="0" fontId="7" fillId="3" borderId="12" applyAlignment="1" pivotButton="0" quotePrefix="0" xfId="2">
      <alignment vertical="top" wrapText="1"/>
    </xf>
    <xf numFmtId="0" fontId="18" fillId="3" borderId="13" applyAlignment="1" pivotButton="0" quotePrefix="0" xfId="2">
      <alignment horizontal="left" vertical="top" wrapText="1"/>
    </xf>
    <xf numFmtId="0" fontId="0" fillId="3" borderId="14" applyAlignment="1" pivotButton="0" quotePrefix="0" xfId="0">
      <alignment horizontal="left" vertical="top" wrapText="1"/>
    </xf>
    <xf numFmtId="0" fontId="0" fillId="3" borderId="9" applyAlignment="1" pivotButton="0" quotePrefix="0" xfId="0">
      <alignment horizontal="left" vertical="top" wrapText="1"/>
    </xf>
    <xf numFmtId="0" fontId="0" fillId="3" borderId="12" applyAlignment="1" pivotButton="0" quotePrefix="0" xfId="0">
      <alignment horizontal="left" vertical="top" wrapText="1"/>
    </xf>
    <xf numFmtId="0" fontId="0" fillId="3" borderId="2" applyAlignment="1" pivotButton="0" quotePrefix="0" xfId="0">
      <alignment horizontal="left" vertical="top" wrapText="1"/>
    </xf>
    <xf numFmtId="0" fontId="0" fillId="3" borderId="10" applyAlignment="1" pivotButton="0" quotePrefix="0" xfId="0">
      <alignment horizontal="left" vertical="top" wrapText="1"/>
    </xf>
    <xf numFmtId="0" fontId="13" fillId="0" borderId="6" applyAlignment="1" pivotButton="0" quotePrefix="0" xfId="0">
      <alignment horizontal="left" vertical="top" wrapText="1"/>
    </xf>
    <xf numFmtId="0" fontId="13" fillId="0" borderId="9" applyAlignment="1" pivotButton="0" quotePrefix="0" xfId="0">
      <alignment horizontal="left" vertical="top" wrapText="1"/>
    </xf>
    <xf numFmtId="0" fontId="13" fillId="0" borderId="12" applyAlignment="1" pivotButton="0" quotePrefix="0" xfId="0">
      <alignment horizontal="left" vertical="top" wrapText="1"/>
    </xf>
    <xf numFmtId="0" fontId="8" fillId="5" borderId="4" applyAlignment="1" pivotButton="0" quotePrefix="0" xfId="5">
      <alignment horizontal="left" vertical="top" wrapText="1"/>
    </xf>
    <xf numFmtId="0" fontId="8" fillId="5" borderId="4" applyAlignment="1" pivotButton="0" quotePrefix="0" xfId="5">
      <alignment horizontal="left" vertical="top"/>
    </xf>
    <xf numFmtId="0" fontId="7" fillId="5" borderId="7" applyAlignment="1" pivotButton="0" quotePrefix="0" xfId="2">
      <alignment horizontal="center" vertical="center"/>
    </xf>
    <xf numFmtId="0" fontId="7" fillId="5" borderId="11" applyAlignment="1" pivotButton="0" quotePrefix="0" xfId="2">
      <alignment horizontal="center" vertical="center"/>
    </xf>
    <xf numFmtId="0" fontId="7" fillId="5" borderId="1" applyAlignment="1" pivotButton="0" quotePrefix="0" xfId="2">
      <alignment horizontal="center" vertical="center"/>
    </xf>
    <xf numFmtId="0" fontId="18" fillId="5" borderId="13" applyAlignment="1" pivotButton="0" quotePrefix="0" xfId="2">
      <alignment horizontal="left" vertical="top" wrapText="1"/>
    </xf>
    <xf numFmtId="0" fontId="0" fillId="5" borderId="14" applyAlignment="1" pivotButton="0" quotePrefix="0" xfId="0">
      <alignment horizontal="left" vertical="top" wrapText="1"/>
    </xf>
    <xf numFmtId="0" fontId="0" fillId="5" borderId="9" applyAlignment="1" pivotButton="0" quotePrefix="0" xfId="0">
      <alignment horizontal="left" vertical="top" wrapText="1"/>
    </xf>
    <xf numFmtId="0" fontId="0" fillId="5" borderId="12" applyAlignment="1" pivotButton="0" quotePrefix="0" xfId="0">
      <alignment horizontal="left" vertical="top" wrapText="1"/>
    </xf>
    <xf numFmtId="0" fontId="0" fillId="5" borderId="2" applyAlignment="1" pivotButton="0" quotePrefix="0" xfId="0">
      <alignment horizontal="left" vertical="top" wrapText="1"/>
    </xf>
    <xf numFmtId="0" fontId="0" fillId="5" borderId="10" applyAlignment="1" pivotButton="0" quotePrefix="0" xfId="0">
      <alignment horizontal="left" vertical="top" wrapText="1"/>
    </xf>
    <xf numFmtId="0" fontId="18" fillId="5" borderId="7" applyAlignment="1" pivotButton="0" quotePrefix="0" xfId="2">
      <alignment horizontal="center" vertical="center"/>
    </xf>
    <xf numFmtId="0" fontId="18" fillId="5" borderId="11" applyAlignment="1" pivotButton="0" quotePrefix="0" xfId="2">
      <alignment horizontal="center" vertical="center"/>
    </xf>
    <xf numFmtId="0" fontId="18" fillId="5" borderId="1" applyAlignment="1" pivotButton="0" quotePrefix="0" xfId="2">
      <alignment horizontal="center" vertical="center"/>
    </xf>
    <xf numFmtId="0" fontId="18" fillId="5" borderId="8" applyAlignment="1" pivotButton="0" quotePrefix="0" xfId="2">
      <alignment horizontal="left" vertical="top" wrapText="1"/>
    </xf>
    <xf numFmtId="0" fontId="13" fillId="5" borderId="6" applyAlignment="1" pivotButton="0" quotePrefix="0" xfId="0">
      <alignment horizontal="left" vertical="top" wrapText="1"/>
    </xf>
    <xf numFmtId="0" fontId="13" fillId="5" borderId="9" applyAlignment="1" pivotButton="0" quotePrefix="0" xfId="0">
      <alignment horizontal="left" vertical="top" wrapText="1"/>
    </xf>
    <xf numFmtId="0" fontId="13" fillId="5" borderId="12" applyAlignment="1" pivotButton="0" quotePrefix="0" xfId="0">
      <alignment horizontal="left" vertical="top" wrapText="1"/>
    </xf>
    <xf numFmtId="0" fontId="8" fillId="3" borderId="8" applyAlignment="1" pivotButton="0" quotePrefix="0" xfId="2">
      <alignment horizontal="left" vertical="top" wrapText="1"/>
    </xf>
    <xf numFmtId="0" fontId="8" fillId="3" borderId="6" applyAlignment="1" pivotButton="0" quotePrefix="0" xfId="2">
      <alignment horizontal="left" vertical="top" wrapText="1"/>
    </xf>
    <xf numFmtId="0" fontId="8" fillId="3" borderId="9" applyAlignment="1" pivotButton="0" quotePrefix="0" xfId="2">
      <alignment horizontal="left" vertical="top" wrapText="1"/>
    </xf>
    <xf numFmtId="0" fontId="8" fillId="3" borderId="12" applyAlignment="1" pivotButton="0" quotePrefix="0" xfId="2">
      <alignment horizontal="left" vertical="top" wrapText="1"/>
    </xf>
    <xf numFmtId="0" fontId="8" fillId="3" borderId="2" applyAlignment="1" pivotButton="0" quotePrefix="0" xfId="2">
      <alignment horizontal="left" vertical="top" wrapText="1"/>
    </xf>
    <xf numFmtId="0" fontId="8" fillId="3" borderId="10" applyAlignment="1" pivotButton="0" quotePrefix="0" xfId="2">
      <alignment horizontal="left" vertical="top" wrapText="1"/>
    </xf>
    <xf numFmtId="0" fontId="6" fillId="3" borderId="4" applyAlignment="1" pivotButton="0" quotePrefix="0" xfId="2">
      <alignment horizontal="left" vertical="top" wrapText="1"/>
    </xf>
    <xf numFmtId="0" fontId="6" fillId="3" borderId="4" applyAlignment="1" pivotButton="0" quotePrefix="0" xfId="2">
      <alignment horizontal="left" vertical="top"/>
    </xf>
    <xf numFmtId="0" fontId="0" fillId="0" borderId="0" pivotButton="0" quotePrefix="0" xfId="0"/>
    <xf numFmtId="0" fontId="2" fillId="4" borderId="4" applyAlignment="1" pivotButton="0" quotePrefix="0" xfId="2">
      <alignment horizontal="center" vertical="center"/>
    </xf>
    <xf numFmtId="0" fontId="0" fillId="0" borderId="6" pivotButton="0" quotePrefix="0" xfId="0"/>
    <xf numFmtId="56" fontId="2" fillId="0" borderId="4" applyAlignment="1" pivotButton="0" quotePrefix="1" xfId="2">
      <alignment horizontal="center" vertical="center"/>
    </xf>
    <xf numFmtId="0" fontId="0" fillId="0" borderId="2" pivotButton="0" quotePrefix="0" xfId="0"/>
    <xf numFmtId="0" fontId="0" fillId="0" borderId="10" pivotButton="0" quotePrefix="0" xfId="0"/>
    <xf numFmtId="0" fontId="3" fillId="2" borderId="4" applyAlignment="1" pivotButton="0" quotePrefix="0" xfId="2">
      <alignment horizontal="center" vertical="center"/>
    </xf>
    <xf numFmtId="0" fontId="5" fillId="2" borderId="26" applyAlignment="1" pivotButton="0" quotePrefix="0" xfId="2">
      <alignment horizontal="center" vertical="center" wrapText="1"/>
    </xf>
    <xf numFmtId="0" fontId="0" fillId="0" borderId="5" pivotButton="0" quotePrefix="0" xfId="0"/>
    <xf numFmtId="0" fontId="0" fillId="0" borderId="24" pivotButton="0" quotePrefix="0" xfId="0"/>
    <xf numFmtId="0" fontId="0" fillId="0" borderId="23" pivotButton="0" quotePrefix="0" xfId="0"/>
    <xf numFmtId="0" fontId="0" fillId="0" borderId="11" pivotButton="0" quotePrefix="0" xfId="0"/>
    <xf numFmtId="0" fontId="0" fillId="0" borderId="27" pivotButton="0" quotePrefix="0" xfId="0"/>
    <xf numFmtId="0" fontId="0" fillId="0" borderId="28" pivotButton="0" quotePrefix="0" xfId="0"/>
    <xf numFmtId="0" fontId="0" fillId="0" borderId="9" pivotButton="0" quotePrefix="0" xfId="0"/>
    <xf numFmtId="0" fontId="0" fillId="0" borderId="12" pivotButton="0" quotePrefix="0" xfId="0"/>
    <xf numFmtId="0" fontId="5" fillId="2" borderId="29" applyAlignment="1" pivotButton="0" quotePrefix="0" xfId="2">
      <alignment horizontal="center" vertical="center" wrapText="1"/>
    </xf>
    <xf numFmtId="0" fontId="0" fillId="0" borderId="14" pivotButton="0" quotePrefix="0" xfId="0"/>
    <xf numFmtId="0" fontId="0" fillId="0" borderId="1" pivotButton="0" quotePrefix="0" xfId="0"/>
    <xf numFmtId="0" fontId="0" fillId="0" borderId="3" pivotButton="0" quotePrefix="0" xfId="0"/>
    <xf numFmtId="0" fontId="2" fillId="3" borderId="4" applyAlignment="1" pivotButton="0" quotePrefix="0" xfId="2">
      <alignment horizontal="center" vertical="center"/>
    </xf>
    <xf numFmtId="0" fontId="2" fillId="3" borderId="7" applyAlignment="1" pivotButton="0" quotePrefix="0" xfId="2">
      <alignment horizontal="left" vertical="top" wrapText="1"/>
    </xf>
    <xf numFmtId="0" fontId="8" fillId="0" borderId="4" applyAlignment="1" pivotButton="0" quotePrefix="0" xfId="2">
      <alignment vertical="top" wrapText="1"/>
    </xf>
    <xf numFmtId="0" fontId="8" fillId="0" borderId="7" applyAlignment="1" pivotButton="0" quotePrefix="0" xfId="2">
      <alignment vertical="top" wrapText="1"/>
    </xf>
    <xf numFmtId="0" fontId="21" fillId="0" borderId="7" applyAlignment="1" pivotButton="0" quotePrefix="0" xfId="2">
      <alignment vertical="top" wrapText="1"/>
    </xf>
    <xf numFmtId="0" fontId="10" fillId="8" borderId="4" applyAlignment="1" pivotButton="0" quotePrefix="0" xfId="2">
      <alignment horizontal="center" vertical="top" wrapText="1"/>
    </xf>
    <xf numFmtId="0" fontId="2" fillId="3" borderId="25" applyAlignment="1" pivotButton="0" quotePrefix="0" xfId="0">
      <alignment horizontal="left" vertical="top" wrapText="1"/>
    </xf>
    <xf numFmtId="0" fontId="8" fillId="0" borderId="25" applyAlignment="1" pivotButton="0" quotePrefix="0" xfId="0">
      <alignment vertical="top" wrapText="1"/>
    </xf>
    <xf numFmtId="0" fontId="9" fillId="0" borderId="9" pivotButton="0" quotePrefix="0" xfId="0"/>
    <xf numFmtId="0" fontId="7" fillId="0" borderId="9" applyAlignment="1" pivotButton="0" quotePrefix="0" xfId="0">
      <alignment vertical="top" wrapText="1"/>
    </xf>
    <xf numFmtId="0" fontId="2" fillId="3" borderId="4" applyAlignment="1" pivotButton="0" quotePrefix="0" xfId="0">
      <alignment horizontal="center" vertical="center"/>
    </xf>
    <xf numFmtId="0" fontId="2" fillId="3" borderId="7" applyAlignment="1" pivotButton="0" quotePrefix="0" xfId="0">
      <alignment horizontal="left" vertical="top" wrapText="1"/>
    </xf>
    <xf numFmtId="0" fontId="8" fillId="0" borderId="4" applyAlignment="1" pivotButton="0" quotePrefix="0" xfId="0">
      <alignment vertical="top" wrapText="1"/>
    </xf>
    <xf numFmtId="0" fontId="8" fillId="0" borderId="7" applyAlignment="1" pivotButton="0" quotePrefix="0" xfId="0">
      <alignment vertical="top" wrapText="1"/>
    </xf>
    <xf numFmtId="0" fontId="21" fillId="0" borderId="7" applyAlignment="1" pivotButton="0" quotePrefix="0" xfId="0">
      <alignment vertical="top" wrapText="1"/>
    </xf>
    <xf numFmtId="0" fontId="10" fillId="8" borderId="4" applyAlignment="1" pivotButton="0" quotePrefix="0" xfId="0">
      <alignment horizontal="center" vertical="top" wrapText="1"/>
    </xf>
    <xf numFmtId="0" fontId="8" fillId="0" borderId="4" applyAlignment="1" pivotButton="0" quotePrefix="0" xfId="5">
      <alignment vertical="top" wrapText="1"/>
    </xf>
    <xf numFmtId="0" fontId="8" fillId="0" borderId="7" applyAlignment="1" pivotButton="0" quotePrefix="0" xfId="5">
      <alignment vertical="top" wrapText="1"/>
    </xf>
  </cellXfs>
  <cellStyles count="7">
    <cellStyle name="標準" xfId="0" builtinId="0"/>
    <cellStyle name="桁区切り 2" xfId="1"/>
    <cellStyle name="標準 2" xfId="2"/>
    <cellStyle name="標準 3" xfId="3"/>
    <cellStyle name="標準 2 2" xfId="4"/>
    <cellStyle name="標準 2 2 2" xfId="5"/>
    <cellStyle name="標準 2 3" xfId="6"/>
  </cellStyle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externalLink" Target="/xl/externalLinks/externalLink1.xml" Id="rId2" /><Relationship Type="http://schemas.openxmlformats.org/officeDocument/2006/relationships/styles" Target="styles.xml" Id="rId3" /><Relationship Type="http://schemas.openxmlformats.org/officeDocument/2006/relationships/theme" Target="theme/theme1.xml" Id="rId4" /></Relationships>
</file>

<file path=xl/charts/chart1.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ja-JP" altLang="en-US"/>
              <a:t>白絵具</a:t>
            </a:r>
            <a:r>
              <a:rPr lang="en-US" altLang="ja-JP"/>
              <a:t>SS</a:t>
            </a:r>
            <a:r>
              <a:rPr lang="ja-JP" altLang="en-US"/>
              <a:t>検量線作成</a:t>
            </a:r>
          </a:p>
        </rich>
      </tx>
      <overlay val="0"/>
      <spPr>
        <a:noFill/>
        <a:ln>
          <a:noFill/>
          <a:prstDash val="solid"/>
        </a:ln>
      </spPr>
      <txPr>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t/>
          </a:r>
          <a:endParaRPr lang="ja-JP"/>
        </a:p>
      </txPr>
    </title>
    <plotArea>
      <layout/>
      <scatterChart>
        <scatterStyle val="lineMarker"/>
        <varyColors val="0"/>
        <ser>
          <idx val="0"/>
          <order val="0"/>
          <tx>
            <strRef>
              <f>'[1]②シロ検量線作成  (SS白1次式Ver)'!$I$60</f>
              <strCache>
                <ptCount val="1"/>
                <pt idx="0">
                  <v>吸光度</v>
                </pt>
              </strCache>
            </strRef>
          </tx>
          <spPr>
            <a:ln w="19050" cap="rnd">
              <a:solidFill>
                <a:schemeClr val="accent1"/>
              </a:solidFill>
              <a:prstDash val="solid"/>
              <a:round/>
            </a:ln>
          </spPr>
          <marker>
            <symbol val="circle"/>
            <size val="5"/>
            <spPr>
              <a:solidFill>
                <a:schemeClr val="accent1"/>
              </a:solidFill>
              <a:ln w="9525">
                <a:solidFill>
                  <a:schemeClr val="accent1"/>
                </a:solidFill>
                <a:prstDash val="solid"/>
              </a:ln>
            </spPr>
          </marker>
          <trendline>
            <spPr>
              <a:ln w="19050" cap="rnd">
                <a:solidFill>
                  <a:schemeClr val="accent1"/>
                </a:solidFill>
                <a:prstDash val="sysDot"/>
              </a:ln>
            </spPr>
            <trendlineType val="poly"/>
            <order val="4"/>
            <intercept val="0"/>
            <dispRSqr val="1"/>
            <dispEq val="1"/>
            <trendlineLbl>
              <numFmt formatCode="0.000000E+00" sourceLinked="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ja-JP"/>
                </a:p>
              </txPr>
            </trendlineLbl>
          </trendline>
          <xVal>
            <numRef>
              <f>'[1]②シロ検量線作成  (SS白1次式Ver)'!$I$65:$I$71</f>
              <numCache>
                <formatCode>General</formatCode>
                <ptCount val="7"/>
                <pt idx="0">
                  <v>0.4159528000992324</v>
                </pt>
                <pt idx="1">
                  <v>0.2092471764165914</v>
                </pt>
                <pt idx="2">
                  <v>0.1050416848327332</v>
                </pt>
                <pt idx="3">
                  <v>0.05245613144215878</v>
                </pt>
                <pt idx="4">
                  <v>0.0262587488064986</v>
                </pt>
                <pt idx="5">
                  <v>0</v>
                </pt>
              </numCache>
            </numRef>
          </xVal>
          <yVal>
            <numRef>
              <f>'[1]②シロ検量線作成  (SS白1次式Ver)'!$C$65:$C$71</f>
              <numCache>
                <formatCode>General</formatCode>
                <ptCount val="7"/>
                <pt idx="0">
                  <v>2030</v>
                </pt>
                <pt idx="1">
                  <v>990</v>
                </pt>
                <pt idx="2">
                  <v>480</v>
                </pt>
                <pt idx="3">
                  <v>220</v>
                </pt>
                <pt idx="4">
                  <v>90</v>
                </pt>
                <pt idx="5">
                  <v>0</v>
                </pt>
              </numCache>
            </numRef>
          </yVal>
          <smooth val="0"/>
        </ser>
        <dLbls>
          <showLegendKey val="0"/>
          <showVal val="0"/>
          <showCatName val="0"/>
          <showSerName val="0"/>
          <showPercent val="0"/>
          <showBubbleSize val="0"/>
        </dLbls>
        <axId val="1224650271"/>
        <axId val="1224651711"/>
      </scatterChart>
      <valAx>
        <axId val="1224650271"/>
        <scaling>
          <orientation val="minMax"/>
        </scaling>
        <delete val="0"/>
        <axPos val="b"/>
        <majorGridlines>
          <spPr>
            <a:ln w="9525" cap="flat" cmpd="sng" algn="ctr">
              <a:solidFill>
                <a:schemeClr val="tx1">
                  <a:lumMod val="15000"/>
                  <a:lumOff val="85000"/>
                </a:schemeClr>
              </a:solidFill>
              <a:prstDash val="solid"/>
              <a:round/>
            </a:ln>
          </spPr>
        </majorGridlines>
        <title>
          <tx>
            <rich>
              <a:bodyPr rot="0" spcFirstLastPara="1" vertOverflow="ellipsis" vert="horz" wrap="square" anchor="ctr" anchorCtr="1"/>
              <a:lstStyle/>
              <a:p>
                <a:pPr>
                  <a:defRPr sz="1000" b="0" i="0" strike="noStrike" kern="1200" baseline="0">
                    <a:solidFill>
                      <a:schemeClr val="tx1">
                        <a:lumMod val="65000"/>
                        <a:lumOff val="35000"/>
                      </a:schemeClr>
                    </a:solidFill>
                    <a:latin typeface="+mn-lt"/>
                    <a:ea typeface="+mn-ea"/>
                    <a:cs typeface="+mn-cs"/>
                  </a:defRPr>
                </a:pPr>
                <a:r>
                  <a:rPr lang="en-US" altLang="ja-JP" sz="1000" b="0" i="0" strike="noStrike" kern="1200" baseline="0">
                    <a:solidFill>
                      <a:sysClr val="windowText" lastClr="000000">
                        <a:lumOff val="35000"/>
                        <a:lumMod val="65000"/>
                      </a:sysClr>
                    </a:solidFill>
                  </a:rPr>
                  <a:t>T4-01</a:t>
                </a:r>
                <a:r>
                  <a:rPr lang="ja-JP" altLang="en-US" sz="1000" b="0" i="0" strike="noStrike" kern="1200" baseline="0">
                    <a:solidFill>
                      <a:sysClr val="windowText" lastClr="000000">
                        <a:lumOff val="35000"/>
                        <a:lumMod val="65000"/>
                      </a:sysClr>
                    </a:solidFill>
                  </a:rPr>
                  <a:t>改</a:t>
                </a:r>
                <a:r>
                  <a:rPr lang="en-US" altLang="ja-JP" sz="1000" b="0" i="0" strike="noStrike" kern="1200" baseline="0">
                    <a:solidFill>
                      <a:sysClr val="windowText" lastClr="000000">
                        <a:lumOff val="35000"/>
                        <a:lumMod val="65000"/>
                      </a:sysClr>
                    </a:solidFill>
                  </a:rPr>
                  <a:t xml:space="preserve"> SS</a:t>
                </a:r>
                <a:r>
                  <a:rPr lang="ja-JP" altLang="en-US" sz="1000" b="0" i="0" strike="noStrike" kern="1200" baseline="0">
                    <a:solidFill>
                      <a:sysClr val="windowText" lastClr="000000">
                        <a:lumOff val="35000"/>
                        <a:lumMod val="65000"/>
                      </a:sysClr>
                    </a:solidFill>
                  </a:rPr>
                  <a:t>吸光度</a:t>
                </a:r>
              </a:p>
            </rich>
          </tx>
          <overlay val="0"/>
          <spPr>
            <a:noFill/>
            <a:ln>
              <a:noFill/>
              <a:prstDash val="solid"/>
            </a:ln>
          </spPr>
          <txPr>
            <a:bodyPr rot="0" spcFirstLastPara="1" vertOverflow="ellipsis" vert="horz" wrap="square" anchor="ctr" anchorCtr="1"/>
            <a:lstStyle/>
            <a:p>
              <a:pPr>
                <a:defRPr sz="1000" b="0" i="0" strike="noStrike" kern="1200" baseline="0">
                  <a:solidFill>
                    <a:schemeClr val="tx1">
                      <a:lumMod val="65000"/>
                      <a:lumOff val="35000"/>
                    </a:schemeClr>
                  </a:solidFill>
                  <a:latin typeface="+mn-lt"/>
                  <a:ea typeface="+mn-ea"/>
                  <a:cs typeface="+mn-cs"/>
                </a:defRPr>
              </a:pPr>
              <a:r>
                <a:t/>
              </a:r>
              <a:endParaRPr lang="ja-JP"/>
            </a:p>
          </txPr>
        </title>
        <numFmt formatCode="0.000_ " sourceLinked="0"/>
        <majorTickMark val="none"/>
        <minorTickMark val="none"/>
        <tickLblPos val="nextTo"/>
        <spPr>
          <a:noFill/>
          <a:ln w="9525" cap="flat" cmpd="sng" algn="ctr">
            <a:solidFill>
              <a:schemeClr val="tx1">
                <a:lumMod val="25000"/>
                <a:lumOff val="7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ja-JP"/>
          </a:p>
        </txPr>
        <crossAx val="1224651711"/>
        <crosses val="autoZero"/>
        <crossBetween val="midCat"/>
      </valAx>
      <valAx>
        <axId val="1224651711"/>
        <scaling>
          <orientation val="minMax"/>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mn-lt"/>
                    <a:ea typeface="+mn-ea"/>
                    <a:cs typeface="+mn-cs"/>
                  </a:defRPr>
                </a:pPr>
                <a:r>
                  <a:rPr lang="en-US" altLang="ja-JP" sz="800" b="0" i="0" strike="noStrike" kern="1200" baseline="0">
                    <a:solidFill>
                      <a:sysClr val="windowText" lastClr="000000">
                        <a:lumOff val="35000"/>
                        <a:lumMod val="65000"/>
                      </a:sysClr>
                    </a:solidFill>
                  </a:rPr>
                  <a:t>IM-100P</a:t>
                </a:r>
                <a:r>
                  <a:rPr lang="ja-JP" altLang="en-US" sz="800" b="0" i="0" strike="noStrike" kern="1200" baseline="0">
                    <a:solidFill>
                      <a:sysClr val="windowText" lastClr="000000">
                        <a:lumOff val="35000"/>
                        <a:lumMod val="65000"/>
                      </a:sysClr>
                    </a:solidFill>
                  </a:rPr>
                  <a:t>基準器指示値</a:t>
                </a:r>
                <a:r>
                  <a:rPr lang="en-US" altLang="ja-JP" sz="800" b="0" i="0" strike="noStrike" kern="1200" baseline="0">
                    <a:solidFill>
                      <a:sysClr val="windowText" lastClr="000000">
                        <a:lumOff val="35000"/>
                        <a:lumMod val="65000"/>
                      </a:sysClr>
                    </a:solidFill>
                  </a:rPr>
                  <a:t>(mg/L)</a:t>
                </a:r>
                <a:endParaRPr lang="ja-JP" altLang="en-US"/>
              </a:p>
            </rich>
          </tx>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mn-lt"/>
                  <a:ea typeface="+mn-ea"/>
                  <a:cs typeface="+mn-cs"/>
                </a:defRPr>
              </a:pPr>
              <a:r>
                <a:t/>
              </a:r>
              <a:endParaRPr lang="ja-JP" altLang="en-US"/>
            </a:p>
          </txPr>
        </title>
        <numFmt formatCode="General" sourceLinked="1"/>
        <majorTickMark val="none"/>
        <minorTickMark val="none"/>
        <tickLblPos val="nextTo"/>
        <spPr>
          <a:noFill/>
          <a:ln w="9525" cap="flat" cmpd="sng" algn="ctr">
            <a:solidFill>
              <a:schemeClr val="tx1">
                <a:lumMod val="25000"/>
                <a:lumOff val="7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ja-JP"/>
          </a:p>
        </txPr>
        <crossAx val="1224650271"/>
        <crosses val="autoZero"/>
        <crossBetween val="midCat"/>
      </valAx>
    </plotArea>
    <plotVisOnly val="1"/>
    <dispBlanksAs val="gap"/>
  </chart>
  <spPr>
    <a:solidFill>
      <a:schemeClr val="bg1"/>
    </a:solidFill>
    <a:l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43702</colOff>
      <row>59</row>
      <rowOff>970429</rowOff>
    </from>
    <to>
      <col>14</col>
      <colOff>791614</colOff>
      <row>59</row>
      <rowOff>3780625</rowOff>
    </to>
    <graphicFrame>
      <nvGraphicFramePr>
        <cNvPr id="1" name="Chart 1"/>
        <cNvGraphicFramePr/>
      </nvGraphicFramePr>
      <xfrm/>
      <a:graphic>
        <a:graphicData uri="http://schemas.openxmlformats.org/drawingml/2006/chart">
          <c:chart r:id="rId1"/>
        </a:graphicData>
      </a:graphic>
    </graphicFrame>
    <clientData/>
  </twoCellAnchor>
</wsDr>
</file>

<file path=xl/externalLinks/_rels/externalLink1.xml.rels><Relationships xmlns="http://schemas.openxmlformats.org/package/2006/relationships"><Relationship Type="http://schemas.openxmlformats.org/officeDocument/2006/relationships/externalLinkPath" Target="file:///R:/10_&#26360;&#36796;&#21046;&#38480;&#28961;&#12375;(&#22238;&#35239;&#12394;&#12393;)/04_&#35373;&#35336;&#37096;&#12424;&#12426;/33-19%20IM&#12471;&#12522;&#12540;&#12474;&#35373;&#35336;&#22793;&#26356;&#65288;&#27425;&#26399;&#65289;/&#12503;&#12525;&#12540;&#12502;&#35413;&#20385;/&#35413;&#20385;&#35430;&#39443;&#32080;&#26524;/&#35413;&#20385;&#26178;&#12487;&#12540;&#12479;/&#35413;&#20385;&#35430;&#39443;%20(260501-%20%20&#12475;&#12523;&#24133;&#22793;&#26356;&#21697;)/&#35413;&#20385;&#35430;&#39443;&#35299;&#26512;&#65288;260501-%20&#12475;&#12523;&#24133;&#22793;&#26356;&#21697;&#65289;.xlsx" TargetMode="External" Id="rId2" /></Relationships>
</file>

<file path=xl/externalLinks/externalLink1.xml><?xml version="1.0" encoding="utf-8"?>
<externalLink xmlns:r="http://schemas.openxmlformats.org/officeDocument/2006/relationships" xmlns="http://schemas.openxmlformats.org/spreadsheetml/2006/main">
  <externalBook r:id="rId1">
    <sheetNames>
      <sheetName val="⑩耐水圧(SS基準器)"/>
      <sheetName val="SS直線性比較"/>
      <sheetName val="シロ直線性 (吸光度)"/>
      <sheetName val="クロ直線性 (吸光度)"/>
      <sheetName val="⑨外乱光の影響(SS基準器) (遮光瓶ｾﾞﾛ)"/>
      <sheetName val="⑩汚れの有無"/>
      <sheetName val="⑧SSの温度特性"/>
      <sheetName val="⑧MLSSの温度特性"/>
      <sheetName val="⑧クロ温度特性 (SS基準器) (校正無し)"/>
      <sheetName val="⑧クロ温度特性 (SS基準器)"/>
      <sheetName val="⑦シロ直線性"/>
      <sheetName val="⑥クロドリフト (SS基準器)"/>
      <sheetName val="⑤クロSS繰返 (SS基準器)"/>
      <sheetName val="④クロMLSS繰返"/>
      <sheetName val="③クロ直線性 (SS基準器)"/>
      <sheetName val="②シロ検量線作成  (SS白1次式Ver)"/>
      <sheetName val="②シロ検量線作成 "/>
      <sheetName val="②クロ検量線作成"/>
      <sheetName val="①Ref補正傾き"/>
      <sheetName val="x"/>
      <sheetName val="⑥クロドリフト"/>
      <sheetName val="⑤クロSS繰返"/>
      <sheetName val="③クロ直線性"/>
      <sheetName val="白用ﾌｫｰﾏｯﾄ(T4-01～03)"/>
      <sheetName val="黒用ﾌｫｰﾏｯﾄ(T4-01～03)"/>
      <sheetName val="黒MLSS・SS直線性"/>
      <sheetName val="クロ検量線(全データ)"/>
      <sheetName val="⑨外乱光の影響(SS基準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ow r="60">
          <cell r="I60" t="str">
            <v>吸光度</v>
          </cell>
        </row>
        <row r="65">
          <cell r="C65">
            <v>2030</v>
          </cell>
          <cell r="I65">
            <v>0.41595280009923241</v>
          </cell>
        </row>
        <row r="66">
          <cell r="C66">
            <v>990</v>
          </cell>
          <cell r="I66">
            <v>0.20924717641659135</v>
          </cell>
        </row>
        <row r="67">
          <cell r="C67">
            <v>480</v>
          </cell>
          <cell r="I67">
            <v>0.10504168483273317</v>
          </cell>
        </row>
        <row r="68">
          <cell r="C68">
            <v>220</v>
          </cell>
          <cell r="I68">
            <v>5.2456131442158778E-2</v>
          </cell>
        </row>
        <row r="69">
          <cell r="C69">
            <v>90</v>
          </cell>
          <cell r="I69">
            <v>2.6258748806498599E-2</v>
          </cell>
        </row>
        <row r="70">
          <cell r="C70">
            <v>0</v>
          </cell>
          <cell r="I70">
            <v>0</v>
          </cell>
        </row>
      </sheetData>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Set>
  </externalBook>
</externalLink>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xDef>
      <a:spPr>
        <a:solidFill>
          <a:schemeClr val="lt1"/>
        </a:solidFill>
        <a:ln w="9525" cmpd="sng">
          <a:solidFill>
            <a:schemeClr val="lt1">
              <a:shade val="50000"/>
            </a:schemeClr>
          </a:solidFill>
        </a:ln>
      </a:spPr>
      <a:bodyPr vertOverflow="clip" horzOverflow="clip" wrap="square" rtlCol="0" anchor="t"/>
      <a:lstStyle>
        <a:defPPr>
          <a:lnSpc>
            <a:spcPts val="1300"/>
          </a:lnSpc>
          <a:defRPr kumimoji="1" sz="1100">
            <a:solidFill>
              <a:sysClr val="windowText" lastClr="000000"/>
            </a:solidFill>
            <a:latin typeface="ＭＳ Ｐゴシック" panose="020B0600070205080204" pitchFamily="50" charset="-128"/>
            <a:ea typeface="ＭＳ Ｐゴシック" panose="020B0600070205080204" pitchFamily="50" charset="-128"/>
          </a:defRPr>
        </a:defPPr>
      </a:lstStyle>
      <a:style>
        <a:lnRef idx="0">
          <a:scrgbClr r="0" g="0" b="0"/>
        </a:lnRef>
        <a:fillRef idx="0">
          <a:scrgbClr r="0" g="0" b="0"/>
        </a:fillRef>
        <a:effectRef idx="0">
          <a:scrgbClr r="0" g="0" b="0"/>
        </a:effectRef>
        <a:fontRef idx="minor">
          <a:schemeClr val="dk1"/>
        </a:fontRef>
      </a:style>
    </a:tx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FFCCFFFF"/>
    <outlinePr summaryBelow="1" summaryRight="1"/>
    <pageSetUpPr fitToPage="1"/>
  </sheetPr>
  <dimension ref="A1:V148"/>
  <sheetViews>
    <sheetView tabSelected="1" view="pageBreakPreview" topLeftCell="A27" zoomScale="120" zoomScaleNormal="100" zoomScaleSheetLayoutView="120" workbookViewId="0">
      <selection activeCell="J29" sqref="J29:O33"/>
    </sheetView>
  </sheetViews>
  <sheetFormatPr baseColWidth="10" defaultColWidth="9" defaultRowHeight="14"/>
  <cols>
    <col width="2.19921875" customWidth="1" style="3" min="1" max="1"/>
    <col width="4" bestFit="1" customWidth="1" style="1" min="2" max="2"/>
    <col width="10.796875" customWidth="1" style="1" min="3" max="4"/>
    <col width="9.19921875" customWidth="1" style="1" min="5" max="9"/>
    <col width="14.19921875" customWidth="1" style="1" min="10" max="15"/>
    <col width="9.19921875" customWidth="1" style="1" min="16" max="16"/>
    <col width="2.19921875" customWidth="1" style="1" min="17" max="17"/>
    <col width="9.19921875" customWidth="1" style="1" min="18" max="255"/>
    <col width="3.796875" customWidth="1" style="1" min="256" max="256"/>
    <col width="3.3984375" bestFit="1" customWidth="1" style="1" min="257" max="257"/>
    <col width="9.19921875" customWidth="1" style="1" min="258" max="272"/>
    <col width="3.796875" customWidth="1" style="1" min="273" max="273"/>
    <col width="9.19921875" customWidth="1" style="1" min="274" max="511"/>
    <col width="3.796875" customWidth="1" style="1" min="512" max="512"/>
    <col width="3.3984375" bestFit="1" customWidth="1" style="1" min="513" max="513"/>
    <col width="9.19921875" customWidth="1" style="1" min="514" max="528"/>
    <col width="3.796875" customWidth="1" style="1" min="529" max="529"/>
    <col width="9.19921875" customWidth="1" style="1" min="530" max="767"/>
    <col width="3.796875" customWidth="1" style="1" min="768" max="768"/>
    <col width="3.3984375" bestFit="1" customWidth="1" style="1" min="769" max="769"/>
    <col width="9.19921875" customWidth="1" style="1" min="770" max="784"/>
    <col width="3.796875" customWidth="1" style="1" min="785" max="785"/>
    <col width="9.19921875" customWidth="1" style="1" min="786" max="1023"/>
    <col width="3.796875" customWidth="1" style="1" min="1024" max="1024"/>
    <col width="3.3984375" bestFit="1" customWidth="1" style="1" min="1025" max="1025"/>
    <col width="9.19921875" customWidth="1" style="1" min="1026" max="1040"/>
    <col width="3.796875" customWidth="1" style="1" min="1041" max="1041"/>
    <col width="9.19921875" customWidth="1" style="1" min="1042" max="1279"/>
    <col width="3.796875" customWidth="1" style="1" min="1280" max="1280"/>
    <col width="3.3984375" bestFit="1" customWidth="1" style="1" min="1281" max="1281"/>
    <col width="9.19921875" customWidth="1" style="1" min="1282" max="1296"/>
    <col width="3.796875" customWidth="1" style="1" min="1297" max="1297"/>
    <col width="9.19921875" customWidth="1" style="1" min="1298" max="1535"/>
    <col width="3.796875" customWidth="1" style="1" min="1536" max="1536"/>
    <col width="3.3984375" bestFit="1" customWidth="1" style="1" min="1537" max="1537"/>
    <col width="9.19921875" customWidth="1" style="1" min="1538" max="1552"/>
    <col width="3.796875" customWidth="1" style="1" min="1553" max="1553"/>
    <col width="9.19921875" customWidth="1" style="1" min="1554" max="1791"/>
    <col width="3.796875" customWidth="1" style="1" min="1792" max="1792"/>
    <col width="3.3984375" bestFit="1" customWidth="1" style="1" min="1793" max="1793"/>
    <col width="9.19921875" customWidth="1" style="1" min="1794" max="1808"/>
    <col width="3.796875" customWidth="1" style="1" min="1809" max="1809"/>
    <col width="9.19921875" customWidth="1" style="1" min="1810" max="2047"/>
    <col width="3.796875" customWidth="1" style="1" min="2048" max="2048"/>
    <col width="3.3984375" bestFit="1" customWidth="1" style="1" min="2049" max="2049"/>
    <col width="9.19921875" customWidth="1" style="1" min="2050" max="2064"/>
    <col width="3.796875" customWidth="1" style="1" min="2065" max="2065"/>
    <col width="9.19921875" customWidth="1" style="1" min="2066" max="2303"/>
    <col width="3.796875" customWidth="1" style="1" min="2304" max="2304"/>
    <col width="3.3984375" bestFit="1" customWidth="1" style="1" min="2305" max="2305"/>
    <col width="9.19921875" customWidth="1" style="1" min="2306" max="2320"/>
    <col width="3.796875" customWidth="1" style="1" min="2321" max="2321"/>
    <col width="9.19921875" customWidth="1" style="1" min="2322" max="2559"/>
    <col width="3.796875" customWidth="1" style="1" min="2560" max="2560"/>
    <col width="3.3984375" bestFit="1" customWidth="1" style="1" min="2561" max="2561"/>
    <col width="9.19921875" customWidth="1" style="1" min="2562" max="2576"/>
    <col width="3.796875" customWidth="1" style="1" min="2577" max="2577"/>
    <col width="9.19921875" customWidth="1" style="1" min="2578" max="2815"/>
    <col width="3.796875" customWidth="1" style="1" min="2816" max="2816"/>
    <col width="3.3984375" bestFit="1" customWidth="1" style="1" min="2817" max="2817"/>
    <col width="9.19921875" customWidth="1" style="1" min="2818" max="2832"/>
    <col width="3.796875" customWidth="1" style="1" min="2833" max="2833"/>
    <col width="9.19921875" customWidth="1" style="1" min="2834" max="3071"/>
    <col width="3.796875" customWidth="1" style="1" min="3072" max="3072"/>
    <col width="3.3984375" bestFit="1" customWidth="1" style="1" min="3073" max="3073"/>
    <col width="9.19921875" customWidth="1" style="1" min="3074" max="3088"/>
    <col width="3.796875" customWidth="1" style="1" min="3089" max="3089"/>
    <col width="9.19921875" customWidth="1" style="1" min="3090" max="3327"/>
    <col width="3.796875" customWidth="1" style="1" min="3328" max="3328"/>
    <col width="3.3984375" bestFit="1" customWidth="1" style="1" min="3329" max="3329"/>
    <col width="9.19921875" customWidth="1" style="1" min="3330" max="3344"/>
    <col width="3.796875" customWidth="1" style="1" min="3345" max="3345"/>
    <col width="9.19921875" customWidth="1" style="1" min="3346" max="3583"/>
    <col width="3.796875" customWidth="1" style="1" min="3584" max="3584"/>
    <col width="3.3984375" bestFit="1" customWidth="1" style="1" min="3585" max="3585"/>
    <col width="9.19921875" customWidth="1" style="1" min="3586" max="3600"/>
    <col width="3.796875" customWidth="1" style="1" min="3601" max="3601"/>
    <col width="9.19921875" customWidth="1" style="1" min="3602" max="3839"/>
    <col width="3.796875" customWidth="1" style="1" min="3840" max="3840"/>
    <col width="3.3984375" bestFit="1" customWidth="1" style="1" min="3841" max="3841"/>
    <col width="9.19921875" customWidth="1" style="1" min="3842" max="3856"/>
    <col width="3.796875" customWidth="1" style="1" min="3857" max="3857"/>
    <col width="9.19921875" customWidth="1" style="1" min="3858" max="4095"/>
    <col width="3.796875" customWidth="1" style="1" min="4096" max="4096"/>
    <col width="3.3984375" bestFit="1" customWidth="1" style="1" min="4097" max="4097"/>
    <col width="9.19921875" customWidth="1" style="1" min="4098" max="4112"/>
    <col width="3.796875" customWidth="1" style="1" min="4113" max="4113"/>
    <col width="9.19921875" customWidth="1" style="1" min="4114" max="4351"/>
    <col width="3.796875" customWidth="1" style="1" min="4352" max="4352"/>
    <col width="3.3984375" bestFit="1" customWidth="1" style="1" min="4353" max="4353"/>
    <col width="9.19921875" customWidth="1" style="1" min="4354" max="4368"/>
    <col width="3.796875" customWidth="1" style="1" min="4369" max="4369"/>
    <col width="9.19921875" customWidth="1" style="1" min="4370" max="4607"/>
    <col width="3.796875" customWidth="1" style="1" min="4608" max="4608"/>
    <col width="3.3984375" bestFit="1" customWidth="1" style="1" min="4609" max="4609"/>
    <col width="9.19921875" customWidth="1" style="1" min="4610" max="4624"/>
    <col width="3.796875" customWidth="1" style="1" min="4625" max="4625"/>
    <col width="9.19921875" customWidth="1" style="1" min="4626" max="4863"/>
    <col width="3.796875" customWidth="1" style="1" min="4864" max="4864"/>
    <col width="3.3984375" bestFit="1" customWidth="1" style="1" min="4865" max="4865"/>
    <col width="9.19921875" customWidth="1" style="1" min="4866" max="4880"/>
    <col width="3.796875" customWidth="1" style="1" min="4881" max="4881"/>
    <col width="9.19921875" customWidth="1" style="1" min="4882" max="5119"/>
    <col width="3.796875" customWidth="1" style="1" min="5120" max="5120"/>
    <col width="3.3984375" bestFit="1" customWidth="1" style="1" min="5121" max="5121"/>
    <col width="9.19921875" customWidth="1" style="1" min="5122" max="5136"/>
    <col width="3.796875" customWidth="1" style="1" min="5137" max="5137"/>
    <col width="9.19921875" customWidth="1" style="1" min="5138" max="5375"/>
    <col width="3.796875" customWidth="1" style="1" min="5376" max="5376"/>
    <col width="3.3984375" bestFit="1" customWidth="1" style="1" min="5377" max="5377"/>
    <col width="9.19921875" customWidth="1" style="1" min="5378" max="5392"/>
    <col width="3.796875" customWidth="1" style="1" min="5393" max="5393"/>
    <col width="9.19921875" customWidth="1" style="1" min="5394" max="5631"/>
    <col width="3.796875" customWidth="1" style="1" min="5632" max="5632"/>
    <col width="3.3984375" bestFit="1" customWidth="1" style="1" min="5633" max="5633"/>
    <col width="9.19921875" customWidth="1" style="1" min="5634" max="5648"/>
    <col width="3.796875" customWidth="1" style="1" min="5649" max="5649"/>
    <col width="9.19921875" customWidth="1" style="1" min="5650" max="5887"/>
    <col width="3.796875" customWidth="1" style="1" min="5888" max="5888"/>
    <col width="3.3984375" bestFit="1" customWidth="1" style="1" min="5889" max="5889"/>
    <col width="9.19921875" customWidth="1" style="1" min="5890" max="5904"/>
    <col width="3.796875" customWidth="1" style="1" min="5905" max="5905"/>
    <col width="9.19921875" customWidth="1" style="1" min="5906" max="6143"/>
    <col width="3.796875" customWidth="1" style="1" min="6144" max="6144"/>
    <col width="3.3984375" bestFit="1" customWidth="1" style="1" min="6145" max="6145"/>
    <col width="9.19921875" customWidth="1" style="1" min="6146" max="6160"/>
    <col width="3.796875" customWidth="1" style="1" min="6161" max="6161"/>
    <col width="9.19921875" customWidth="1" style="1" min="6162" max="6399"/>
    <col width="3.796875" customWidth="1" style="1" min="6400" max="6400"/>
    <col width="3.3984375" bestFit="1" customWidth="1" style="1" min="6401" max="6401"/>
    <col width="9.19921875" customWidth="1" style="1" min="6402" max="6416"/>
    <col width="3.796875" customWidth="1" style="1" min="6417" max="6417"/>
    <col width="9.19921875" customWidth="1" style="1" min="6418" max="6655"/>
    <col width="3.796875" customWidth="1" style="1" min="6656" max="6656"/>
    <col width="3.3984375" bestFit="1" customWidth="1" style="1" min="6657" max="6657"/>
    <col width="9.19921875" customWidth="1" style="1" min="6658" max="6672"/>
    <col width="3.796875" customWidth="1" style="1" min="6673" max="6673"/>
    <col width="9.19921875" customWidth="1" style="1" min="6674" max="6911"/>
    <col width="3.796875" customWidth="1" style="1" min="6912" max="6912"/>
    <col width="3.3984375" bestFit="1" customWidth="1" style="1" min="6913" max="6913"/>
    <col width="9.19921875" customWidth="1" style="1" min="6914" max="6928"/>
    <col width="3.796875" customWidth="1" style="1" min="6929" max="6929"/>
    <col width="9.19921875" customWidth="1" style="1" min="6930" max="7167"/>
    <col width="3.796875" customWidth="1" style="1" min="7168" max="7168"/>
    <col width="3.3984375" bestFit="1" customWidth="1" style="1" min="7169" max="7169"/>
    <col width="9.19921875" customWidth="1" style="1" min="7170" max="7184"/>
    <col width="3.796875" customWidth="1" style="1" min="7185" max="7185"/>
    <col width="9.19921875" customWidth="1" style="1" min="7186" max="7423"/>
    <col width="3.796875" customWidth="1" style="1" min="7424" max="7424"/>
    <col width="3.3984375" bestFit="1" customWidth="1" style="1" min="7425" max="7425"/>
    <col width="9.19921875" customWidth="1" style="1" min="7426" max="7440"/>
    <col width="3.796875" customWidth="1" style="1" min="7441" max="7441"/>
    <col width="9.19921875" customWidth="1" style="1" min="7442" max="7679"/>
    <col width="3.796875" customWidth="1" style="1" min="7680" max="7680"/>
    <col width="3.3984375" bestFit="1" customWidth="1" style="1" min="7681" max="7681"/>
    <col width="9.19921875" customWidth="1" style="1" min="7682" max="7696"/>
    <col width="3.796875" customWidth="1" style="1" min="7697" max="7697"/>
    <col width="9.19921875" customWidth="1" style="1" min="7698" max="7935"/>
    <col width="3.796875" customWidth="1" style="1" min="7936" max="7936"/>
    <col width="3.3984375" bestFit="1" customWidth="1" style="1" min="7937" max="7937"/>
    <col width="9.19921875" customWidth="1" style="1" min="7938" max="7952"/>
    <col width="3.796875" customWidth="1" style="1" min="7953" max="7953"/>
    <col width="9.19921875" customWidth="1" style="1" min="7954" max="8191"/>
    <col width="3.796875" customWidth="1" style="1" min="8192" max="8192"/>
    <col width="3.3984375" bestFit="1" customWidth="1" style="1" min="8193" max="8193"/>
    <col width="9.19921875" customWidth="1" style="1" min="8194" max="8208"/>
    <col width="3.796875" customWidth="1" style="1" min="8209" max="8209"/>
    <col width="9.19921875" customWidth="1" style="1" min="8210" max="8447"/>
    <col width="3.796875" customWidth="1" style="1" min="8448" max="8448"/>
    <col width="3.3984375" bestFit="1" customWidth="1" style="1" min="8449" max="8449"/>
    <col width="9.19921875" customWidth="1" style="1" min="8450" max="8464"/>
    <col width="3.796875" customWidth="1" style="1" min="8465" max="8465"/>
    <col width="9.19921875" customWidth="1" style="1" min="8466" max="8703"/>
    <col width="3.796875" customWidth="1" style="1" min="8704" max="8704"/>
    <col width="3.3984375" bestFit="1" customWidth="1" style="1" min="8705" max="8705"/>
    <col width="9.19921875" customWidth="1" style="1" min="8706" max="8720"/>
    <col width="3.796875" customWidth="1" style="1" min="8721" max="8721"/>
    <col width="9.19921875" customWidth="1" style="1" min="8722" max="8959"/>
    <col width="3.796875" customWidth="1" style="1" min="8960" max="8960"/>
    <col width="3.3984375" bestFit="1" customWidth="1" style="1" min="8961" max="8961"/>
    <col width="9.19921875" customWidth="1" style="1" min="8962" max="8976"/>
    <col width="3.796875" customWidth="1" style="1" min="8977" max="8977"/>
    <col width="9.19921875" customWidth="1" style="1" min="8978" max="9215"/>
    <col width="3.796875" customWidth="1" style="1" min="9216" max="9216"/>
    <col width="3.3984375" bestFit="1" customWidth="1" style="1" min="9217" max="9217"/>
    <col width="9.19921875" customWidth="1" style="1" min="9218" max="9232"/>
    <col width="3.796875" customWidth="1" style="1" min="9233" max="9233"/>
    <col width="9.19921875" customWidth="1" style="1" min="9234" max="9471"/>
    <col width="3.796875" customWidth="1" style="1" min="9472" max="9472"/>
    <col width="3.3984375" bestFit="1" customWidth="1" style="1" min="9473" max="9473"/>
    <col width="9.19921875" customWidth="1" style="1" min="9474" max="9488"/>
    <col width="3.796875" customWidth="1" style="1" min="9489" max="9489"/>
    <col width="9.19921875" customWidth="1" style="1" min="9490" max="9727"/>
    <col width="3.796875" customWidth="1" style="1" min="9728" max="9728"/>
    <col width="3.3984375" bestFit="1" customWidth="1" style="1" min="9729" max="9729"/>
    <col width="9.19921875" customWidth="1" style="1" min="9730" max="9744"/>
    <col width="3.796875" customWidth="1" style="1" min="9745" max="9745"/>
    <col width="9.19921875" customWidth="1" style="1" min="9746" max="9983"/>
    <col width="3.796875" customWidth="1" style="1" min="9984" max="9984"/>
    <col width="3.3984375" bestFit="1" customWidth="1" style="1" min="9985" max="9985"/>
    <col width="9.19921875" customWidth="1" style="1" min="9986" max="10000"/>
    <col width="3.796875" customWidth="1" style="1" min="10001" max="10001"/>
    <col width="9.19921875" customWidth="1" style="1" min="10002" max="10239"/>
    <col width="3.796875" customWidth="1" style="1" min="10240" max="10240"/>
    <col width="3.3984375" bestFit="1" customWidth="1" style="1" min="10241" max="10241"/>
    <col width="9.19921875" customWidth="1" style="1" min="10242" max="10256"/>
    <col width="3.796875" customWidth="1" style="1" min="10257" max="10257"/>
    <col width="9.19921875" customWidth="1" style="1" min="10258" max="10495"/>
    <col width="3.796875" customWidth="1" style="1" min="10496" max="10496"/>
    <col width="3.3984375" bestFit="1" customWidth="1" style="1" min="10497" max="10497"/>
    <col width="9.19921875" customWidth="1" style="1" min="10498" max="10512"/>
    <col width="3.796875" customWidth="1" style="1" min="10513" max="10513"/>
    <col width="9.19921875" customWidth="1" style="1" min="10514" max="10751"/>
    <col width="3.796875" customWidth="1" style="1" min="10752" max="10752"/>
    <col width="3.3984375" bestFit="1" customWidth="1" style="1" min="10753" max="10753"/>
    <col width="9.19921875" customWidth="1" style="1" min="10754" max="10768"/>
    <col width="3.796875" customWidth="1" style="1" min="10769" max="10769"/>
    <col width="9.19921875" customWidth="1" style="1" min="10770" max="11007"/>
    <col width="3.796875" customWidth="1" style="1" min="11008" max="11008"/>
    <col width="3.3984375" bestFit="1" customWidth="1" style="1" min="11009" max="11009"/>
    <col width="9.19921875" customWidth="1" style="1" min="11010" max="11024"/>
    <col width="3.796875" customWidth="1" style="1" min="11025" max="11025"/>
    <col width="9.19921875" customWidth="1" style="1" min="11026" max="11263"/>
    <col width="3.796875" customWidth="1" style="1" min="11264" max="11264"/>
    <col width="3.3984375" bestFit="1" customWidth="1" style="1" min="11265" max="11265"/>
    <col width="9.19921875" customWidth="1" style="1" min="11266" max="11280"/>
    <col width="3.796875" customWidth="1" style="1" min="11281" max="11281"/>
    <col width="9.19921875" customWidth="1" style="1" min="11282" max="11519"/>
    <col width="3.796875" customWidth="1" style="1" min="11520" max="11520"/>
    <col width="3.3984375" bestFit="1" customWidth="1" style="1" min="11521" max="11521"/>
    <col width="9.19921875" customWidth="1" style="1" min="11522" max="11536"/>
    <col width="3.796875" customWidth="1" style="1" min="11537" max="11537"/>
    <col width="9.19921875" customWidth="1" style="1" min="11538" max="11775"/>
    <col width="3.796875" customWidth="1" style="1" min="11776" max="11776"/>
    <col width="3.3984375" bestFit="1" customWidth="1" style="1" min="11777" max="11777"/>
    <col width="9.19921875" customWidth="1" style="1" min="11778" max="11792"/>
    <col width="3.796875" customWidth="1" style="1" min="11793" max="11793"/>
    <col width="9.19921875" customWidth="1" style="1" min="11794" max="12031"/>
    <col width="3.796875" customWidth="1" style="1" min="12032" max="12032"/>
    <col width="3.3984375" bestFit="1" customWidth="1" style="1" min="12033" max="12033"/>
    <col width="9.19921875" customWidth="1" style="1" min="12034" max="12048"/>
    <col width="3.796875" customWidth="1" style="1" min="12049" max="12049"/>
    <col width="9.19921875" customWidth="1" style="1" min="12050" max="12287"/>
    <col width="3.796875" customWidth="1" style="1" min="12288" max="12288"/>
    <col width="3.3984375" bestFit="1" customWidth="1" style="1" min="12289" max="12289"/>
    <col width="9.19921875" customWidth="1" style="1" min="12290" max="12304"/>
    <col width="3.796875" customWidth="1" style="1" min="12305" max="12305"/>
    <col width="9.19921875" customWidth="1" style="1" min="12306" max="12543"/>
    <col width="3.796875" customWidth="1" style="1" min="12544" max="12544"/>
    <col width="3.3984375" bestFit="1" customWidth="1" style="1" min="12545" max="12545"/>
    <col width="9.19921875" customWidth="1" style="1" min="12546" max="12560"/>
    <col width="3.796875" customWidth="1" style="1" min="12561" max="12561"/>
    <col width="9.19921875" customWidth="1" style="1" min="12562" max="12799"/>
    <col width="3.796875" customWidth="1" style="1" min="12800" max="12800"/>
    <col width="3.3984375" bestFit="1" customWidth="1" style="1" min="12801" max="12801"/>
    <col width="9.19921875" customWidth="1" style="1" min="12802" max="12816"/>
    <col width="3.796875" customWidth="1" style="1" min="12817" max="12817"/>
    <col width="9.19921875" customWidth="1" style="1" min="12818" max="13055"/>
    <col width="3.796875" customWidth="1" style="1" min="13056" max="13056"/>
    <col width="3.3984375" bestFit="1" customWidth="1" style="1" min="13057" max="13057"/>
    <col width="9.19921875" customWidth="1" style="1" min="13058" max="13072"/>
    <col width="3.796875" customWidth="1" style="1" min="13073" max="13073"/>
    <col width="9.19921875" customWidth="1" style="1" min="13074" max="13311"/>
    <col width="3.796875" customWidth="1" style="1" min="13312" max="13312"/>
    <col width="3.3984375" bestFit="1" customWidth="1" style="1" min="13313" max="13313"/>
    <col width="9.19921875" customWidth="1" style="1" min="13314" max="13328"/>
    <col width="3.796875" customWidth="1" style="1" min="13329" max="13329"/>
    <col width="9.19921875" customWidth="1" style="1" min="13330" max="13567"/>
    <col width="3.796875" customWidth="1" style="1" min="13568" max="13568"/>
    <col width="3.3984375" bestFit="1" customWidth="1" style="1" min="13569" max="13569"/>
    <col width="9.19921875" customWidth="1" style="1" min="13570" max="13584"/>
    <col width="3.796875" customWidth="1" style="1" min="13585" max="13585"/>
    <col width="9.19921875" customWidth="1" style="1" min="13586" max="13823"/>
    <col width="3.796875" customWidth="1" style="1" min="13824" max="13824"/>
    <col width="3.3984375" bestFit="1" customWidth="1" style="1" min="13825" max="13825"/>
    <col width="9.19921875" customWidth="1" style="1" min="13826" max="13840"/>
    <col width="3.796875" customWidth="1" style="1" min="13841" max="13841"/>
    <col width="9.19921875" customWidth="1" style="1" min="13842" max="14079"/>
    <col width="3.796875" customWidth="1" style="1" min="14080" max="14080"/>
    <col width="3.3984375" bestFit="1" customWidth="1" style="1" min="14081" max="14081"/>
    <col width="9.19921875" customWidth="1" style="1" min="14082" max="14096"/>
    <col width="3.796875" customWidth="1" style="1" min="14097" max="14097"/>
    <col width="9.19921875" customWidth="1" style="1" min="14098" max="14335"/>
    <col width="3.796875" customWidth="1" style="1" min="14336" max="14336"/>
    <col width="3.3984375" bestFit="1" customWidth="1" style="1" min="14337" max="14337"/>
    <col width="9.19921875" customWidth="1" style="1" min="14338" max="14352"/>
    <col width="3.796875" customWidth="1" style="1" min="14353" max="14353"/>
    <col width="9.19921875" customWidth="1" style="1" min="14354" max="14591"/>
    <col width="3.796875" customWidth="1" style="1" min="14592" max="14592"/>
    <col width="3.3984375" bestFit="1" customWidth="1" style="1" min="14593" max="14593"/>
    <col width="9.19921875" customWidth="1" style="1" min="14594" max="14608"/>
    <col width="3.796875" customWidth="1" style="1" min="14609" max="14609"/>
    <col width="9.19921875" customWidth="1" style="1" min="14610" max="14847"/>
    <col width="3.796875" customWidth="1" style="1" min="14848" max="14848"/>
    <col width="3.3984375" bestFit="1" customWidth="1" style="1" min="14849" max="14849"/>
    <col width="9.19921875" customWidth="1" style="1" min="14850" max="14864"/>
    <col width="3.796875" customWidth="1" style="1" min="14865" max="14865"/>
    <col width="9.19921875" customWidth="1" style="1" min="14866" max="15103"/>
    <col width="3.796875" customWidth="1" style="1" min="15104" max="15104"/>
    <col width="3.3984375" bestFit="1" customWidth="1" style="1" min="15105" max="15105"/>
    <col width="9.19921875" customWidth="1" style="1" min="15106" max="15120"/>
    <col width="3.796875" customWidth="1" style="1" min="15121" max="15121"/>
    <col width="9.19921875" customWidth="1" style="1" min="15122" max="15359"/>
    <col width="3.796875" customWidth="1" style="1" min="15360" max="15360"/>
    <col width="3.3984375" bestFit="1" customWidth="1" style="1" min="15361" max="15361"/>
    <col width="9.19921875" customWidth="1" style="1" min="15362" max="15376"/>
    <col width="3.796875" customWidth="1" style="1" min="15377" max="15377"/>
    <col width="9.19921875" customWidth="1" style="1" min="15378" max="15615"/>
    <col width="3.796875" customWidth="1" style="1" min="15616" max="15616"/>
    <col width="3.3984375" bestFit="1" customWidth="1" style="1" min="15617" max="15617"/>
    <col width="9.19921875" customWidth="1" style="1" min="15618" max="15632"/>
    <col width="3.796875" customWidth="1" style="1" min="15633" max="15633"/>
    <col width="9.19921875" customWidth="1" style="1" min="15634" max="15871"/>
    <col width="3.796875" customWidth="1" style="1" min="15872" max="15872"/>
    <col width="3.3984375" bestFit="1" customWidth="1" style="1" min="15873" max="15873"/>
    <col width="9.19921875" customWidth="1" style="1" min="15874" max="15888"/>
    <col width="3.796875" customWidth="1" style="1" min="15889" max="15889"/>
    <col width="9.19921875" customWidth="1" style="1" min="15890" max="16127"/>
    <col width="3.796875" customWidth="1" style="1" min="16128" max="16128"/>
    <col width="3.3984375" bestFit="1" customWidth="1" style="1" min="16129" max="16129"/>
    <col width="9.19921875" customWidth="1" style="1" min="16130" max="16144"/>
    <col width="3.796875" customWidth="1" style="1" min="16145" max="16145"/>
    <col width="9.19921875" customWidth="1" style="1" min="16146" max="16382"/>
    <col width="8.796875" customWidth="1" style="1" min="16383" max="16383"/>
    <col width="9.19921875" customWidth="1" style="1" min="16384" max="16384"/>
  </cols>
  <sheetData>
    <row r="1" ht="24" customHeight="1" s="279">
      <c r="A1" s="2" t="inlineStr">
        <is>
          <t>IM-110T 本体 評価試験計画</t>
        </is>
      </c>
    </row>
    <row r="2">
      <c r="N2" s="48" t="inlineStr">
        <is>
          <t>修正日：</t>
        </is>
      </c>
    </row>
    <row r="3">
      <c r="B3" s="280" t="inlineStr">
        <is>
          <t>業務番号</t>
        </is>
      </c>
      <c r="C3" s="281" t="n"/>
      <c r="D3" s="282" t="inlineStr">
        <is>
          <t>33-19</t>
        </is>
      </c>
      <c r="E3" s="281" t="n"/>
      <c r="N3" s="48" t="inlineStr">
        <is>
          <t>作成日：2026/6/23</t>
        </is>
      </c>
    </row>
    <row r="4">
      <c r="B4" s="283" t="n"/>
      <c r="C4" s="284" t="n"/>
      <c r="D4" s="283" t="n"/>
      <c r="E4" s="284" t="n"/>
      <c r="N4" s="48" t="inlineStr">
        <is>
          <t>作成者：本体設計部 柵木慎一郎</t>
        </is>
      </c>
    </row>
    <row r="5">
      <c r="N5" s="1" t="inlineStr">
        <is>
          <t>評価記録：</t>
        </is>
      </c>
    </row>
    <row r="6">
      <c r="A6" s="3" t="inlineStr">
        <is>
          <t>1.入力・目的</t>
        </is>
      </c>
      <c r="N6" s="1" t="inlineStr">
        <is>
          <t>評価者：</t>
        </is>
      </c>
      <c r="T6" s="4" t="n"/>
      <c r="V6" s="4" t="n"/>
    </row>
    <row r="7">
      <c r="B7" s="54" t="inlineStr">
        <is>
          <t>IM-110T 本体（電源・表示・操作・RS-232C 通信・EEPROM/RTC・筐体）に対し、製品設計仕様書 IM-110(仮) V05、製品規格一覧表 IM-110T、IM-100P 製品検査・試験規格／抜取り検査、IM-110_Probe 設計検証評価試験計画表 を入力として、試験方法、合否基準を決定し本体評価試験内容を決定する。
※プローブ単体性能（既存 xlsx）、プログラム機能評価（別途）、取説評価（別途）、BLE 通信（基板パターンのみで実装予定なし）は対象外。</t>
        </is>
      </c>
      <c r="T7" s="4" t="n"/>
      <c r="V7" s="4" t="n"/>
    </row>
    <row r="8">
      <c r="T8" s="4" t="n"/>
      <c r="V8" s="4" t="n"/>
    </row>
    <row r="9">
      <c r="B9" s="54" t="n"/>
      <c r="C9" s="54" t="n"/>
      <c r="D9" s="54" t="n"/>
      <c r="E9" s="54" t="n"/>
      <c r="F9" s="54" t="n"/>
      <c r="G9" s="54" t="n"/>
      <c r="H9" s="54" t="n"/>
      <c r="I9" s="54" t="n"/>
      <c r="J9" s="54" t="n"/>
      <c r="K9" s="54" t="n"/>
      <c r="L9" s="54" t="n"/>
      <c r="M9" s="54" t="n"/>
      <c r="N9" s="54" t="n"/>
      <c r="O9" s="54" t="n"/>
      <c r="P9" s="54" t="n"/>
    </row>
    <row r="10">
      <c r="B10" s="54" t="n"/>
      <c r="C10" s="54" t="n"/>
      <c r="D10" s="54" t="n"/>
      <c r="E10" s="54" t="n"/>
      <c r="F10" s="54" t="n"/>
      <c r="G10" s="54" t="n"/>
      <c r="H10" s="54" t="n"/>
      <c r="I10" s="54" t="n"/>
      <c r="J10" s="54" t="n"/>
      <c r="K10" s="54" t="n"/>
      <c r="L10" s="54" t="n"/>
      <c r="M10" s="54" t="n"/>
      <c r="N10" s="54" t="n"/>
      <c r="O10" s="54" t="n"/>
      <c r="P10" s="54" t="n"/>
    </row>
    <row r="11">
      <c r="A11" s="3" t="inlineStr">
        <is>
          <t>2.試験結果</t>
        </is>
      </c>
      <c r="K11" s="6" t="n"/>
    </row>
    <row r="12">
      <c r="B12" s="22" t="inlineStr">
        <is>
          <t>①．測定条件、評価条件</t>
        </is>
      </c>
      <c r="C12" s="22" t="n"/>
      <c r="D12" s="22" t="n"/>
      <c r="E12" s="22" t="n"/>
      <c r="F12" s="22" t="n"/>
      <c r="G12" s="22" t="n"/>
      <c r="H12" s="22" t="n"/>
      <c r="I12" s="22" t="n"/>
      <c r="J12" s="22" t="n"/>
      <c r="K12" s="22" t="n"/>
      <c r="L12" s="22" t="n"/>
      <c r="M12" s="22" t="n"/>
      <c r="N12" s="22" t="n"/>
      <c r="O12" s="22" t="n"/>
      <c r="P12" s="22" t="n"/>
    </row>
    <row r="13">
      <c r="B13" s="22" t="n"/>
      <c r="C13" s="55" t="inlineStr">
        <is>
          <t>本評価表ではプローブ単体性能・プログラム評価・取説評価・BLE 通信を対象外とする。
暫定基準を採用した項目は本評価実施までに製品要求仕様書／製品設計仕様書／製品規格一覧表で確定値を反映する。</t>
        </is>
      </c>
    </row>
    <row r="14" ht="180" customHeight="1" s="279">
      <c r="B14" s="22" t="n"/>
      <c r="C14" s="55" t="inlineStr">
        <is>
          <t>・試作本体：3 台
・試作プローブ：3 本（C 系試験用、プローブ評価と兼用可）
・ケーブル：標準 6m × 3 本 + 10m × 1 本</t>
        </is>
      </c>
    </row>
    <row r="15">
      <c r="K15" s="6" t="n"/>
    </row>
    <row r="16">
      <c r="B16" s="1" t="inlineStr">
        <is>
          <t>②．試験結果</t>
        </is>
      </c>
      <c r="K16" s="6" t="n"/>
    </row>
    <row r="17" ht="13.5" customHeight="1" s="279">
      <c r="B17" s="285" t="inlineStr">
        <is>
          <t>№</t>
        </is>
      </c>
      <c r="C17" s="286" t="inlineStr">
        <is>
          <t>試験項目
（仕様書項目No.）</t>
        </is>
      </c>
      <c r="D17" s="281" t="n"/>
      <c r="E17" s="30" t="inlineStr">
        <is>
          <t>試験方法（確認内容）</t>
        </is>
      </c>
      <c r="F17" s="287" t="n"/>
      <c r="G17" s="281" t="n"/>
      <c r="H17" s="31" t="inlineStr">
        <is>
          <t>製品規格
検査基準
合否基準</t>
        </is>
      </c>
      <c r="I17" s="281" t="n"/>
      <c r="J17" s="32" t="inlineStr">
        <is>
          <t>結果</t>
        </is>
      </c>
      <c r="K17" s="288" t="n"/>
      <c r="L17" s="288" t="n"/>
      <c r="M17" s="288" t="n"/>
      <c r="N17" s="288" t="n"/>
      <c r="O17" s="288" t="n"/>
      <c r="P17" s="289" t="n"/>
    </row>
    <row r="18" ht="13.5" customHeight="1" s="279">
      <c r="B18" s="290" t="n"/>
      <c r="C18" s="291" t="n"/>
      <c r="D18" s="292" t="n"/>
      <c r="E18" s="293" t="n"/>
      <c r="G18" s="294" t="n"/>
      <c r="H18" s="293" t="n"/>
      <c r="I18" s="294" t="n"/>
      <c r="J18" s="32" t="inlineStr">
        <is>
          <t>データ</t>
        </is>
      </c>
      <c r="K18" s="287" t="n"/>
      <c r="L18" s="287" t="n"/>
      <c r="M18" s="287" t="n"/>
      <c r="N18" s="287" t="n"/>
      <c r="O18" s="281" t="n"/>
      <c r="P18" s="32" t="inlineStr">
        <is>
          <t>合否</t>
        </is>
      </c>
    </row>
    <row r="19" ht="13.5" customHeight="1" s="279">
      <c r="B19" s="290" t="n"/>
      <c r="C19" s="295" t="inlineStr">
        <is>
          <t>製品検査・試験規格
該当項目番号</t>
        </is>
      </c>
      <c r="D19" s="296" t="n"/>
      <c r="E19" s="293" t="n"/>
      <c r="G19" s="294" t="n"/>
      <c r="H19" s="293" t="n"/>
      <c r="I19" s="294" t="n"/>
      <c r="J19" s="293" t="n"/>
      <c r="O19" s="294" t="n"/>
      <c r="P19" s="290" t="n"/>
    </row>
    <row r="20">
      <c r="B20" s="297" t="n"/>
      <c r="C20" s="291" t="n"/>
      <c r="D20" s="292" t="n"/>
      <c r="E20" s="283" t="n"/>
      <c r="F20" s="298" t="n"/>
      <c r="G20" s="284" t="n"/>
      <c r="H20" s="283" t="n"/>
      <c r="I20" s="284" t="n"/>
      <c r="J20" s="283" t="n"/>
      <c r="K20" s="298" t="n"/>
      <c r="L20" s="298" t="n"/>
      <c r="M20" s="298" t="n"/>
      <c r="N20" s="298" t="n"/>
      <c r="O20" s="284" t="n"/>
      <c r="P20" s="297" t="n"/>
    </row>
    <row r="21" ht="80" customHeight="1" s="279">
      <c r="B21" s="299" t="n">
        <v>1</v>
      </c>
      <c r="C21" s="300" t="inlineStr">
        <is>
          <t>電源仕様・バッテリー駆動時間
【入力】
設計仕様書 No.19, No.60
【目的】
仕様の電源構成 (単4 アルカリ ×3、DC4.5V) で 160 時間以上の連続駆動を確認する</t>
        </is>
      </c>
      <c r="D21" s="281" t="n"/>
      <c r="E21" s="301" t="inlineStr">
        <is>
          <t>①．連続測定モードでバッテリー寿命測定
・電源：単4 アルカリ乾電池 ×3 (DC 4.5V)、エネループ使用可
・オートパワーオフを無効化した試作器で連続測定モード (MD 500ms 周期) で動作
・バッテリーエラー (≤3.40V) 到達までの時間を測定
・20℃環境、新品電池でサンプル 3 セット</t>
        </is>
      </c>
      <c r="F21" s="287" t="n"/>
      <c r="G21" s="281" t="n"/>
      <c r="H21" s="302" t="inlineStr">
        <is>
          <t>合否基準：
160 時間以上（アルカリ電池）</t>
        </is>
      </c>
      <c r="I21" s="281" t="n"/>
      <c r="J21" s="303" t="inlineStr"/>
      <c r="K21" s="287" t="n"/>
      <c r="L21" s="287" t="n"/>
      <c r="M21" s="287" t="n"/>
      <c r="N21" s="287" t="n"/>
      <c r="O21" s="281" t="n"/>
      <c r="P21" s="304" t="inlineStr"/>
    </row>
    <row r="22" ht="60" customHeight="1" s="279">
      <c r="B22" s="290" t="n"/>
      <c r="C22" s="293" t="n"/>
      <c r="D22" s="294" t="n"/>
      <c r="E22" s="293" t="n"/>
      <c r="G22" s="294" t="n"/>
      <c r="H22" s="293" t="n"/>
      <c r="I22" s="294" t="n"/>
      <c r="J22" s="293" t="n"/>
      <c r="O22" s="294" t="n"/>
      <c r="P22" s="290" t="n"/>
    </row>
    <row r="23" ht="60" customHeight="1" s="279">
      <c r="B23" s="290" t="n"/>
      <c r="C23" s="293" t="n"/>
      <c r="D23" s="294" t="n"/>
      <c r="E23" s="283" t="n"/>
      <c r="F23" s="298" t="n"/>
      <c r="G23" s="284" t="n"/>
      <c r="H23" s="293" t="n"/>
      <c r="I23" s="294" t="n"/>
      <c r="J23" s="293" t="n"/>
      <c r="O23" s="294" t="n"/>
      <c r="P23" s="290" t="n"/>
    </row>
    <row r="24" ht="100" customHeight="1" s="279">
      <c r="B24" s="297" t="n"/>
      <c r="C24" s="305" t="inlineStr">
        <is>
          <t>設計仕様書 No.60</t>
        </is>
      </c>
      <c r="E24" s="306" t="inlineStr">
        <is>
          <t>サンプル数：
・試作本体：3 台
使用機器：
・単4 アルカリ乾電池（新品）
・電池電圧ロガー（A2-200 等）
・ストップウォッチ
・本体 3 台（標準ケーブル接続済み）</t>
        </is>
      </c>
      <c r="H24" s="307" t="inlineStr"/>
      <c r="J24" s="308" t="inlineStr"/>
      <c r="P24" s="297" t="n"/>
    </row>
    <row r="25" ht="80" customHeight="1" s="279">
      <c r="B25" s="309" t="n">
        <v>2</v>
      </c>
      <c r="C25" s="310" t="inlineStr">
        <is>
          <t>電池残量表示電圧閾値
【入力】
設計仕様書 No.19
【目的】
電池残量アイコン段階遷移とバッテリーエラー表示が仕様電圧で作動することを確認する</t>
        </is>
      </c>
      <c r="E25" s="311" t="inlineStr">
        <is>
          <t>①．電圧降下スイープによる残量遷移確認
・安定化電源で V_BAT を 4.5V → 3.0V へ徐々に降下
・各電圧での残量表示段階を記録
・サンプル 3 台、20℃</t>
        </is>
      </c>
      <c r="H25" s="312" t="inlineStr">
        <is>
          <t>合否基準：
下記閾値どおりに表示遷移すること
・残量3：&gt; 3.80V
・残量2：&gt; 3.70V
・残量1：&gt; 3.57V
・残量0(点滅)：&gt; 3.40V
・バッテリーエラー：≤ 3.40V</t>
        </is>
      </c>
      <c r="J25" s="313" t="inlineStr"/>
      <c r="P25" s="314" t="inlineStr"/>
    </row>
    <row r="26" ht="60" customHeight="1" s="279"/>
    <row r="27" ht="60" customHeight="1" s="279"/>
    <row r="28" ht="100" customHeight="1" s="279">
      <c r="C28" s="305" t="inlineStr">
        <is>
          <t>設計仕様書 No.19</t>
        </is>
      </c>
      <c r="E28" s="306" t="inlineStr">
        <is>
          <t>サンプル数：
・試作本体：3 台
使用機器：
・安定化電源（±0.01V 精度、0〜5V）
・本体 3 台</t>
        </is>
      </c>
      <c r="H28" s="307" t="inlineStr"/>
      <c r="J28" s="99" t="inlineStr"/>
      <c r="K28" s="298" t="n"/>
      <c r="L28" s="298" t="n"/>
      <c r="M28" s="298" t="n"/>
      <c r="N28" s="298" t="n"/>
      <c r="O28" s="284" t="n"/>
    </row>
    <row r="29" ht="80" customHeight="1" s="279">
      <c r="B29" s="309" t="n">
        <v>3</v>
      </c>
      <c r="C29" s="310" t="inlineStr">
        <is>
          <t>バッテリーエラー時の動作
【入力】
設計仕様書 No.128
【目的】
電池電圧低下時に電源 ON すると「電池交換」テキストボックスが表示されることを確認する</t>
        </is>
      </c>
      <c r="E29" s="301" t="inlineStr">
        <is>
          <t>①．低電圧起動時のエラーボックス表示
・電池電圧を 3.30V に設定 (≤ 3.40V エラー閾値)
・電源 SW で起動操作を実施
・画面表示を確認</t>
        </is>
      </c>
      <c r="F29" s="287" t="n"/>
      <c r="G29" s="281" t="n"/>
      <c r="H29" s="302" t="inlineStr">
        <is>
          <t>合否基準：
電池交換メッセージが画面に表示されること</t>
        </is>
      </c>
      <c r="I29" s="281" t="n"/>
      <c r="J29" s="303" t="inlineStr"/>
      <c r="K29" s="287" t="n"/>
      <c r="L29" s="287" t="n"/>
      <c r="M29" s="287" t="n"/>
      <c r="N29" s="287" t="n"/>
      <c r="O29" s="281" t="n"/>
      <c r="P29" s="304" t="inlineStr"/>
    </row>
    <row r="30" ht="60" customHeight="1" s="279">
      <c r="E30" s="293" t="n"/>
      <c r="G30" s="294" t="n"/>
      <c r="H30" s="293" t="n"/>
      <c r="I30" s="294" t="n"/>
      <c r="J30" s="293" t="n"/>
      <c r="O30" s="294" t="n"/>
      <c r="P30" s="290" t="n"/>
    </row>
    <row r="31" ht="60" customHeight="1" s="279">
      <c r="E31" s="283" t="n"/>
      <c r="F31" s="298" t="n"/>
      <c r="G31" s="284" t="n"/>
      <c r="H31" s="293" t="n"/>
      <c r="I31" s="294" t="n"/>
      <c r="J31" s="293" t="n"/>
      <c r="O31" s="294" t="n"/>
      <c r="P31" s="290" t="n"/>
    </row>
    <row r="32" ht="100" customHeight="1" s="279">
      <c r="C32" s="305" t="inlineStr">
        <is>
          <t>設計仕様書 No.128</t>
        </is>
      </c>
      <c r="E32" s="306" t="inlineStr">
        <is>
          <t>サンプル数：
・試作本体：3 台
使用機器：
・安定化電源（±0.01V 精度）
・本体 3 台</t>
        </is>
      </c>
      <c r="H32" s="307" t="inlineStr"/>
      <c r="J32" s="308" t="inlineStr"/>
      <c r="P32" s="297" t="n"/>
    </row>
    <row r="33" ht="80" customHeight="1" s="279">
      <c r="B33" s="309" t="n">
        <v>4</v>
      </c>
      <c r="C33" s="310" t="inlineStr">
        <is>
          <t>消費電流
【入力】
設計仕様書 No.60
【目的】
各動作モードの消費電流が設計値以内であることを確認する（160h 駆動寿命の根拠）</t>
        </is>
      </c>
      <c r="E33" s="311" t="inlineStr">
        <is>
          <t>①．モード別消費電流測定
・直列に電流計を入れ、以下モードで電流測定
  起動直後 / 通常測定中 / 表示更新中 / 電源 OFF 直前
・各 5 分以上計測し平均値を算出</t>
        </is>
      </c>
      <c r="H33" s="312" t="inlineStr">
        <is>
          <t>合否基準：
通常測定中 平均 ≤ 5 mA
（暫定：単4 アルカリ実効容量 ~800mAh / 160h ≒ 5mA 逆算）</t>
        </is>
      </c>
      <c r="J33" s="313" t="inlineStr"/>
      <c r="O33" s="294" t="n"/>
      <c r="P33" s="314" t="inlineStr"/>
    </row>
    <row r="34" ht="60" customHeight="1" s="279">
      <c r="O34" s="294" t="n"/>
    </row>
    <row r="35" ht="60" customHeight="1" s="279">
      <c r="O35" s="294" t="n"/>
    </row>
    <row r="36" ht="100" customHeight="1" s="279">
      <c r="C36" s="305" t="inlineStr">
        <is>
          <t>設計仕様書 No.60</t>
        </is>
      </c>
      <c r="E36" s="306" t="inlineStr">
        <is>
          <t>サンプル数：
・試作本体：3 台
使用機器：
・電流計（uA レンジ可、A2-200 等）
・安定化電源（4.5V 固定）
・本体 3 台</t>
        </is>
      </c>
      <c r="H36" s="307" t="inlineStr"/>
      <c r="J36" s="99" t="inlineStr"/>
      <c r="K36" s="298" t="n"/>
      <c r="L36" s="298" t="n"/>
      <c r="M36" s="298" t="n"/>
      <c r="N36" s="298" t="n"/>
      <c r="O36" s="284" t="n"/>
    </row>
    <row r="37" ht="80" customHeight="1" s="279">
      <c r="B37" s="309" t="n">
        <v>5</v>
      </c>
      <c r="C37" s="310" t="inlineStr">
        <is>
          <t>起動・シャットダウン動作
【入力】
製品要求仕様書
【目的】
電源 SW 押下から測定画面到達、および電源 OFF 押下から完全シャットダウンまでの時間が許容内であることを確認する</t>
        </is>
      </c>
      <c r="E37" s="301" t="inlineStr">
        <is>
          <t>①．起動時間測定
・電源 SW 押下から測定画面表示までの時間を測定
・3 回繰返し平均
②．シャットダウン時間測定
・電源 SW 長押しから画面消灯までの時間を測定
・3 回繰返し平均</t>
        </is>
      </c>
      <c r="F37" s="287" t="n"/>
      <c r="G37" s="281" t="n"/>
      <c r="H37" s="302" t="inlineStr">
        <is>
          <t>合否基準：
起動 ≤ 5 秒、OFF ≤ 3 秒
（暫定、IM-100P 同等を想定）</t>
        </is>
      </c>
      <c r="I37" s="281" t="n"/>
      <c r="J37" s="303" t="inlineStr"/>
      <c r="K37" s="287" t="n"/>
      <c r="L37" s="287" t="n"/>
      <c r="M37" s="287" t="n"/>
      <c r="N37" s="287" t="n"/>
      <c r="O37" s="281" t="n"/>
      <c r="P37" s="304" t="inlineStr"/>
    </row>
    <row r="38" ht="60" customHeight="1" s="279">
      <c r="E38" s="293" t="n"/>
      <c r="G38" s="294" t="n"/>
      <c r="H38" s="293" t="n"/>
      <c r="I38" s="294" t="n"/>
      <c r="J38" s="293" t="n"/>
      <c r="O38" s="294" t="n"/>
      <c r="P38" s="290" t="n"/>
    </row>
    <row r="39" ht="60" customHeight="1" s="279">
      <c r="E39" s="293" t="n"/>
      <c r="G39" s="294" t="n"/>
      <c r="H39" s="283" t="n"/>
      <c r="I39" s="284" t="n"/>
      <c r="J39" s="293" t="n"/>
      <c r="O39" s="294" t="n"/>
      <c r="P39" s="290" t="n"/>
    </row>
    <row r="40" ht="100" customHeight="1" s="279">
      <c r="C40" s="305" t="inlineStr">
        <is>
          <t>製品要求仕様書</t>
        </is>
      </c>
      <c r="E40" s="306" t="inlineStr">
        <is>
          <t>サンプル数：
・試作本体：3 台
使用機器：
・ストップウォッチ
・本体 3 台</t>
        </is>
      </c>
      <c r="H40" s="307" t="inlineStr"/>
      <c r="J40" s="99" t="inlineStr"/>
      <c r="O40" s="294" t="n"/>
      <c r="P40" s="297" t="n"/>
    </row>
    <row r="41" ht="80" customHeight="1" s="279">
      <c r="B41" s="309" t="n">
        <v>6</v>
      </c>
      <c r="C41" s="310" t="inlineStr">
        <is>
          <t>電源電圧変動に対する安定性
【入力】
設計仕様書 No.57
【目的】
バッテリーエラー直前 (3.4V) でも通信成立し、指示値が検査基準を満たすことを確認する</t>
        </is>
      </c>
      <c r="E41" s="311" t="inlineStr">
        <is>
          <t>①．低電圧連続通信試験
・DC 電源を 3.4V 設定
・プローブを標準液に浸し、MD コマンド 500ms 周期で 10 万回連続通信
・通信エラー件数および指示値変動を記録</t>
        </is>
      </c>
      <c r="H41" s="312" t="inlineStr">
        <is>
          <t>合否基準：
・10 万回通信成立、エラー無し
・MLSS：±10mg/L（検査）／±20mg/L（規格）
・SS：±1mg/L（検査）／±2mg/L（規格）
・透視度：±0.1cm（検査）／±0.2cm（規格）
・水深：±0.01m</t>
        </is>
      </c>
      <c r="J41" s="303" t="inlineStr"/>
      <c r="O41" s="294" t="n"/>
      <c r="P41" s="314" t="inlineStr"/>
    </row>
    <row r="42" ht="60" customHeight="1" s="279">
      <c r="J42" s="293" t="n"/>
      <c r="O42" s="294" t="n"/>
    </row>
    <row r="43" ht="60" customHeight="1" s="279">
      <c r="J43" s="293" t="n"/>
      <c r="O43" s="294" t="n"/>
    </row>
    <row r="44" ht="100" customHeight="1" s="279">
      <c r="C44" s="305" t="inlineStr">
        <is>
          <t>設計仕様書 No.57</t>
        </is>
      </c>
      <c r="E44" s="306" t="inlineStr">
        <is>
          <t>サンプル数：
・試作本体：3 台
・試作プローブ：3 本
使用機器：
・DC 安定化電源（3.4V 設定可）
・UART ロガー（RS-232C 観測）
・標準液（MLSS / SS / 透視度 / 水深）
・本体 3 台 + プローブ 3 本</t>
        </is>
      </c>
      <c r="H44" s="307" t="inlineStr"/>
      <c r="J44" s="99" t="inlineStr"/>
      <c r="K44" s="298" t="n"/>
      <c r="L44" s="298" t="n"/>
      <c r="M44" s="298" t="n"/>
      <c r="N44" s="298" t="n"/>
      <c r="O44" s="284" t="n"/>
    </row>
    <row r="45" ht="80" customHeight="1" s="279">
      <c r="B45" s="299" t="n">
        <v>7</v>
      </c>
      <c r="C45" s="300" t="inlineStr">
        <is>
          <t>オートパワーオフ機能
【入力】
設計仕様書 No.130
【目的】
最終キー操作後 30 分で自動電源 OFF することを確認する</t>
        </is>
      </c>
      <c r="D45" s="281" t="n"/>
      <c r="E45" s="301" t="inlineStr">
        <is>
          <t>①．放置時間計測
・通常測定中の状態で操作なしで放置
・自動 OFF 動作時刻を計測（3 回繰返し）</t>
        </is>
      </c>
      <c r="F45" s="287" t="n"/>
      <c r="G45" s="281" t="n"/>
      <c r="H45" s="302" t="inlineStr">
        <is>
          <t>合否基準：
30 分 ± 1 分で OFF</t>
        </is>
      </c>
      <c r="I45" s="281" t="n"/>
      <c r="J45" s="303" t="inlineStr"/>
      <c r="K45" s="287" t="n"/>
      <c r="L45" s="287" t="n"/>
      <c r="M45" s="287" t="n"/>
      <c r="N45" s="287" t="n"/>
      <c r="O45" s="281" t="n"/>
      <c r="P45" s="304" t="inlineStr"/>
    </row>
    <row r="46" ht="60" customHeight="1" s="279">
      <c r="B46" s="290" t="n"/>
      <c r="C46" s="293" t="n"/>
      <c r="D46" s="294" t="n"/>
      <c r="E46" s="293" t="n"/>
      <c r="G46" s="294" t="n"/>
      <c r="H46" s="293" t="n"/>
      <c r="I46" s="294" t="n"/>
      <c r="J46" s="293" t="n"/>
      <c r="O46" s="294" t="n"/>
      <c r="P46" s="290" t="n"/>
    </row>
    <row r="47" ht="60" customHeight="1" s="279">
      <c r="B47" s="290" t="n"/>
      <c r="C47" s="293" t="n"/>
      <c r="D47" s="294" t="n"/>
      <c r="E47" s="283" t="n"/>
      <c r="F47" s="298" t="n"/>
      <c r="G47" s="284" t="n"/>
      <c r="H47" s="283" t="n"/>
      <c r="I47" s="284" t="n"/>
      <c r="J47" s="293" t="n"/>
      <c r="O47" s="294" t="n"/>
      <c r="P47" s="290" t="n"/>
    </row>
    <row r="48" ht="100" customHeight="1" s="279">
      <c r="B48" s="297" t="n"/>
      <c r="C48" s="305" t="inlineStr">
        <is>
          <t>設計仕様書 No.130</t>
        </is>
      </c>
      <c r="E48" s="306" t="inlineStr">
        <is>
          <t>サンプル数：
・試作本体：3 台
使用機器：
・ストップウォッチ（タイマー）
・本体 3 台</t>
        </is>
      </c>
      <c r="H48" s="307" t="inlineStr"/>
      <c r="J48" s="308" t="inlineStr"/>
      <c r="P48" s="290" t="n"/>
    </row>
    <row r="49" ht="80" customHeight="1" s="279">
      <c r="B49" s="309" t="n">
        <v>8</v>
      </c>
      <c r="C49" s="310" t="inlineStr">
        <is>
          <t>LCD 表示視認性
【入力】
設計仕様書 No.10（Sharp LS027BH02）
【目的】
Sharp メモリ液晶が屋外光下・各温度で視認可能であることを確認する</t>
        </is>
      </c>
      <c r="E49" s="311" t="inlineStr">
        <is>
          <t>①．光環境別視認性確認
・直射日光下（屋外晴天）、室内蛍光灯下、暗所での視認性を目視評価
②．温度別表示確認
・5℃ / 20℃ / 35℃ 環境下での表示異常（残像・コントラスト低下）有無を確認</t>
        </is>
      </c>
      <c r="H49" s="312" t="inlineStr">
        <is>
          <t>合否基準：
全条件で表示内容が判読可能であること</t>
        </is>
      </c>
      <c r="J49" s="303" t="inlineStr"/>
      <c r="O49" s="294" t="n"/>
      <c r="P49" s="314" t="inlineStr"/>
    </row>
    <row r="50" ht="60" customHeight="1" s="279">
      <c r="J50" s="293" t="n"/>
      <c r="O50" s="294" t="n"/>
    </row>
    <row r="51" ht="60" customHeight="1" s="279">
      <c r="J51" s="293" t="n"/>
      <c r="O51" s="294" t="n"/>
    </row>
    <row r="52" ht="100" customHeight="1" s="279">
      <c r="C52" s="305" t="inlineStr">
        <is>
          <t>設計仕様書 No.10</t>
        </is>
      </c>
      <c r="E52" s="306" t="inlineStr">
        <is>
          <t>サンプル数：
・試作本体：3 台
使用機器：
・恒温槽（5/20/35℃）
・屋外環境（直射日光、晴天日）
・本体 3 台</t>
        </is>
      </c>
      <c r="H52" s="307" t="inlineStr"/>
      <c r="J52" s="99" t="inlineStr"/>
      <c r="K52" s="298" t="n"/>
      <c r="L52" s="298" t="n"/>
      <c r="M52" s="298" t="n"/>
      <c r="N52" s="298" t="n"/>
      <c r="O52" s="284" t="n"/>
    </row>
    <row r="53" ht="80" customHeight="1" s="279">
      <c r="B53" s="309" t="n">
        <v>9</v>
      </c>
      <c r="C53" s="310" t="inlineStr">
        <is>
          <t>表示内容確認（品名・測定範囲・カレンダー）
【入力】
設計仕様書 No.1, 3, 4, 91, 92
【目的】
本体の表示内容（品名・型式、測定範囲・最小分解能、カレンダー形式）が仕様どおりであることを確認する</t>
        </is>
      </c>
      <c r="E53" s="301" t="inlineStr">
        <is>
          <t>①．品名・型式 (No.1)
・パネルシート / 起動画面 / 製造番号シール の 3 か所で型式「(仮)IM-110」が一致
②．測定範囲・最小分解能 (No.3, 4)
・MLSS: 0〜9,990mg/L で 10mg/L 桁、10,000〜20,000mg/L で 100mg/L 桁
・SS: 0〜999mg/L で 1mg/L 桁
・透視度: 2.0〜100.0cm で 0.1cm 桁
・水深: 0.00〜6.00m で 0.01m 桁
③．カレンダー・時計 (No.91, 92)
・画面上段に「YY/MM/DD HH:mm」形式で表示</t>
        </is>
      </c>
      <c r="F53" s="287" t="n"/>
      <c r="G53" s="281" t="n"/>
      <c r="H53" s="302" t="inlineStr">
        <is>
          <t>合否基準：
全項目仕様どおり表示されること</t>
        </is>
      </c>
      <c r="I53" s="281" t="n"/>
      <c r="J53" s="303" t="inlineStr"/>
      <c r="K53" s="287" t="n"/>
      <c r="L53" s="287" t="n"/>
      <c r="M53" s="287" t="n"/>
      <c r="N53" s="287" t="n"/>
      <c r="O53" s="281" t="n"/>
      <c r="P53" s="304" t="inlineStr"/>
    </row>
    <row r="54" ht="60" customHeight="1" s="279">
      <c r="E54" s="293" t="n"/>
      <c r="G54" s="294" t="n"/>
      <c r="H54" s="293" t="n"/>
      <c r="I54" s="294" t="n"/>
      <c r="J54" s="293" t="n"/>
      <c r="O54" s="294" t="n"/>
      <c r="P54" s="290" t="n"/>
    </row>
    <row r="55" ht="60" customHeight="1" s="279">
      <c r="E55" s="283" t="n"/>
      <c r="F55" s="298" t="n"/>
      <c r="G55" s="284" t="n"/>
      <c r="H55" s="293" t="n"/>
      <c r="I55" s="294" t="n"/>
      <c r="J55" s="293" t="n"/>
      <c r="O55" s="294" t="n"/>
      <c r="P55" s="290" t="n"/>
    </row>
    <row r="56" ht="100" customHeight="1" s="279">
      <c r="C56" s="305" t="inlineStr">
        <is>
          <t>設計仕様書 No.1, 3, 4, 91, 92</t>
        </is>
      </c>
      <c r="E56" s="306" t="inlineStr">
        <is>
          <t>サンプル数：
・試作本体：3 台
使用機器：
・本体 3 台（標準ケーブル＋プローブ接続）
・標準液（疑似入力代わり）</t>
        </is>
      </c>
      <c r="H56" s="307" t="inlineStr"/>
      <c r="J56" s="308" t="inlineStr"/>
      <c r="P56" s="297" t="n"/>
    </row>
    <row r="57" ht="80" customHeight="1" s="279">
      <c r="B57" s="309" t="n">
        <v>10</v>
      </c>
      <c r="C57" s="310" t="inlineStr">
        <is>
          <t>ボタン操作応答
【入力】
設計仕様書 No.5
【目的】
SW1 (PC10) / SW2 (PC11) / SW3 (電源) が仕様どおり動作することを確認する</t>
        </is>
      </c>
      <c r="E57" s="311" t="inlineStr">
        <is>
          <t>①．短押し / 長押し判別
・短押し (≤ 1 秒) / 長押し (≥ 3 秒) の判別が正しく動作
②．連打耐性
・連打 100 回でフリーズ・誤動作無きこと
③．電源 SW 動作
・電源 SW 長押しで OFF、短押しで ON</t>
        </is>
      </c>
      <c r="H57" s="312" t="inlineStr">
        <is>
          <t>合否基準：
仕様どおりの動作、誤検出 0 件</t>
        </is>
      </c>
      <c r="J57" s="303" t="inlineStr"/>
      <c r="O57" s="294" t="n"/>
      <c r="P57" s="314" t="inlineStr"/>
    </row>
    <row r="58" ht="60" customHeight="1" s="279">
      <c r="J58" s="293" t="n"/>
      <c r="O58" s="294" t="n"/>
    </row>
    <row r="59" ht="60" customHeight="1" s="279">
      <c r="J59" s="293" t="n"/>
      <c r="O59" s="294" t="n"/>
    </row>
    <row r="60" ht="100" customHeight="1" s="279">
      <c r="C60" s="305" t="inlineStr">
        <is>
          <t>設計仕様書 No.5</t>
        </is>
      </c>
      <c r="E60" s="306" t="inlineStr">
        <is>
          <t>サンプル数：
・試作本体：3 台
使用機器：
・本体 3 台
・ストップウォッチ</t>
        </is>
      </c>
      <c r="H60" s="307" t="inlineStr"/>
      <c r="J60" s="99" t="inlineStr"/>
      <c r="K60" s="298" t="n"/>
      <c r="L60" s="298" t="n"/>
      <c r="M60" s="298" t="n"/>
      <c r="N60" s="298" t="n"/>
      <c r="O60" s="284" t="n"/>
    </row>
    <row r="61" ht="80" customHeight="1" s="279">
      <c r="B61" s="309" t="n">
        <v>11</v>
      </c>
      <c r="C61" s="310" t="inlineStr">
        <is>
          <t>操作スイッチ耐久試験
【入力】
IM-100P 抜取り検査チェックシート（流用）
【目的】
設計寿命の押下耐久で機械破損・接触不良が無きことを確認する</t>
        </is>
      </c>
      <c r="E61" s="301" t="inlineStr">
        <is>
          <t>①．繰返し押下試験
・機械的押下試験機で SW1 / SW2 / SW3 各 10,000 回押下
・押下後に接触抵抗と動作確認
（暫定：一般タクトスイッチ耐久仕様流用）</t>
        </is>
      </c>
      <c r="F61" s="287" t="n"/>
      <c r="G61" s="281" t="n"/>
      <c r="H61" s="302" t="inlineStr">
        <is>
          <t>合否基準：
動作正常、接触抵抗 ≤ 100 mΩ（暫定）</t>
        </is>
      </c>
      <c r="I61" s="281" t="n"/>
      <c r="J61" s="303" t="inlineStr"/>
      <c r="K61" s="287" t="n"/>
      <c r="L61" s="287" t="n"/>
      <c r="M61" s="287" t="n"/>
      <c r="N61" s="287" t="n"/>
      <c r="O61" s="281" t="n"/>
      <c r="P61" s="304" t="inlineStr"/>
    </row>
    <row r="62" ht="60" customHeight="1" s="279">
      <c r="E62" s="293" t="n"/>
      <c r="G62" s="294" t="n"/>
      <c r="H62" s="293" t="n"/>
      <c r="I62" s="294" t="n"/>
      <c r="J62" s="293" t="n"/>
      <c r="O62" s="294" t="n"/>
      <c r="P62" s="290" t="n"/>
    </row>
    <row r="63" ht="60" customHeight="1" s="279">
      <c r="E63" s="293" t="n"/>
      <c r="G63" s="294" t="n"/>
      <c r="H63" s="283" t="n"/>
      <c r="I63" s="284" t="n"/>
      <c r="J63" s="293" t="n"/>
      <c r="O63" s="294" t="n"/>
      <c r="P63" s="290" t="n"/>
    </row>
    <row r="64" ht="100" customHeight="1" s="279">
      <c r="C64" s="305" t="inlineStr">
        <is>
          <t>IM-100P 抜取り検査
検査-3308-11</t>
        </is>
      </c>
      <c r="E64" s="306" t="inlineStr">
        <is>
          <t>サンプル数：
・試作本体：3 台
使用機器：
・機械的押下試験機
・テスター（抵抗測定）
・本体 3 台</t>
        </is>
      </c>
      <c r="H64" s="307" t="inlineStr"/>
      <c r="J64" s="99" t="inlineStr"/>
      <c r="O64" s="294" t="n"/>
      <c r="P64" s="297" t="n"/>
    </row>
    <row r="65" ht="80" customHeight="1" s="279">
      <c r="B65" s="309" t="n">
        <v>12</v>
      </c>
      <c r="C65" s="310" t="inlineStr">
        <is>
          <t>プローブ RS-232C 通信信頼性
【入力】
設計仕様書 No.20, 55
docs/protocol-rs232c.md
【目的】
本体↔プローブ RS-232C (LPUART1↔MAX3232↔ケーブル↔MAX3232↔USART2) が長期連続動作で安定することを確認する</t>
        </is>
      </c>
      <c r="E65" s="311" t="inlineStr">
        <is>
          <t>①．10 万回連続通信
・MD コマンド 500ms 周期で 10 万回連続通信
・CRC エラー・タイムアウト・不正応答件数を集計
・通信中の指示値変動も並行記録</t>
        </is>
      </c>
      <c r="H65" s="312" t="inlineStr">
        <is>
          <t>合否基準：
・10 万回通信中エラー無し（IM-100P 同等以上）
・指示値変動なし（製品規格内）</t>
        </is>
      </c>
      <c r="J65" s="303" t="inlineStr"/>
      <c r="O65" s="294" t="n"/>
      <c r="P65" s="314" t="inlineStr"/>
    </row>
    <row r="66" ht="60" customHeight="1" s="279">
      <c r="J66" s="293" t="n"/>
      <c r="O66" s="294" t="n"/>
    </row>
    <row r="67" ht="60" customHeight="1" s="279">
      <c r="J67" s="293" t="n"/>
      <c r="O67" s="294" t="n"/>
    </row>
    <row r="68" ht="100" customHeight="1" s="279">
      <c r="C68" s="305" t="inlineStr">
        <is>
          <t>設計仕様書 No.20, 55</t>
        </is>
      </c>
      <c r="E68" s="306" t="inlineStr">
        <is>
          <t>サンプル数：
・試作本体：3 台
・試作プローブ：3 本
使用機器：
・UART ロガー（RS-232C 観測用）
・標準液
・本体 3 台 + プローブ 3 本（標準ケーブル 6m）</t>
        </is>
      </c>
      <c r="H68" s="307" t="inlineStr"/>
      <c r="J68" s="99" t="inlineStr"/>
      <c r="K68" s="298" t="n"/>
      <c r="L68" s="298" t="n"/>
      <c r="M68" s="298" t="n"/>
      <c r="N68" s="298" t="n"/>
      <c r="O68" s="284" t="n"/>
    </row>
    <row r="69" ht="80" customHeight="1" s="279">
      <c r="B69" s="299" t="n">
        <v>13</v>
      </c>
      <c r="C69" s="300" t="inlineStr">
        <is>
          <t>ケーブル長変動
【入力】
設計仕様書 No.20
【目的】
仕様ケーブル長（標準 6m / オプション 10m）で通信が成立することを確認する</t>
        </is>
      </c>
      <c r="D69" s="281" t="n"/>
      <c r="E69" s="301" t="inlineStr">
        <is>
          <t>①．ケーブル長別通信試験
・5 芯シールド RMCU-SBC-A 0.3×5C を使用
・標準 6m および オプション 10m で MD 通信 10,000 回
・エラー率を測定</t>
        </is>
      </c>
      <c r="F69" s="287" t="n"/>
      <c r="G69" s="281" t="n"/>
      <c r="H69" s="302" t="inlineStr">
        <is>
          <t>合否基準：
全ケーブル長でエラー率 ≤ 通信信頼性試験と同等</t>
        </is>
      </c>
      <c r="I69" s="281" t="n"/>
      <c r="J69" s="303" t="inlineStr"/>
      <c r="K69" s="287" t="n"/>
      <c r="L69" s="287" t="n"/>
      <c r="M69" s="287" t="n"/>
      <c r="N69" s="287" t="n"/>
      <c r="O69" s="281" t="n"/>
      <c r="P69" s="304" t="inlineStr"/>
    </row>
    <row r="70" ht="60" customHeight="1" s="279">
      <c r="B70" s="290" t="n"/>
      <c r="C70" s="293" t="n"/>
      <c r="D70" s="294" t="n"/>
      <c r="E70" s="293" t="n"/>
      <c r="G70" s="294" t="n"/>
      <c r="H70" s="293" t="n"/>
      <c r="I70" s="294" t="n"/>
      <c r="J70" s="293" t="n"/>
      <c r="O70" s="294" t="n"/>
      <c r="P70" s="290" t="n"/>
    </row>
    <row r="71" ht="60" customHeight="1" s="279">
      <c r="B71" s="290" t="n"/>
      <c r="C71" s="293" t="n"/>
      <c r="D71" s="294" t="n"/>
      <c r="E71" s="283" t="n"/>
      <c r="F71" s="298" t="n"/>
      <c r="G71" s="284" t="n"/>
      <c r="H71" s="293" t="n"/>
      <c r="I71" s="294" t="n"/>
      <c r="J71" s="293" t="n"/>
      <c r="O71" s="294" t="n"/>
      <c r="P71" s="290" t="n"/>
    </row>
    <row r="72" ht="100" customHeight="1" s="279">
      <c r="B72" s="297" t="n"/>
      <c r="C72" s="305" t="inlineStr">
        <is>
          <t>設計仕様書 No.20</t>
        </is>
      </c>
      <c r="E72" s="306" t="inlineStr">
        <is>
          <t>サンプル数：
・試作本体：3 台
・試作プローブ：3 本
使用機器：
・ケーブル：RMCU-SBC-A 0.3×5C
  - 標準 6m × 3 本
  - オプション 10m × 1 本
・UART ロガー
・本体 3 台 + プローブ 3 本</t>
        </is>
      </c>
      <c r="H72" s="307" t="inlineStr"/>
      <c r="J72" s="308" t="inlineStr"/>
      <c r="P72" s="290" t="n"/>
    </row>
    <row r="73" ht="80" customHeight="1" s="279">
      <c r="B73" s="309" t="n">
        <v>14</v>
      </c>
      <c r="C73" s="310" t="inlineStr">
        <is>
          <t>通信エラー復帰
【入力】
設計仕様書 No.55
【目的】
プローブ電源断、ケーブル抜き差し、ノイズパケット時に本体側がフリーズせず自動復帰することを確認する</t>
        </is>
      </c>
      <c r="E73" s="311" t="inlineStr">
        <is>
          <t>①．プローブ電源断/復帰
・プローブ電源を 5 秒 OFF→ON、本体が再接続検知し測定再開すること
②．ケーブル抜き差し
・通信中にケーブルを抜く→挿す、本体側のエラー表示と復帰動作を確認
③．不正パケット注入
・パススルー (P:) 経由で不正コマンド投入、本体が応答待ちでハングしないこと</t>
        </is>
      </c>
      <c r="H73" s="312" t="inlineStr">
        <is>
          <t>合否基準：
フリーズ無、エラー表示後 ≤ 10 秒で復帰</t>
        </is>
      </c>
      <c r="J73" s="313" t="inlineStr"/>
      <c r="P73" s="314" t="inlineStr"/>
    </row>
    <row r="74" ht="60" customHeight="1" s="279"/>
    <row r="75" ht="60" customHeight="1" s="279"/>
    <row r="76" ht="100" customHeight="1" s="279">
      <c r="C76" s="305" t="inlineStr">
        <is>
          <t>設計仕様書 No.55</t>
        </is>
      </c>
      <c r="E76" s="306" t="inlineStr">
        <is>
          <t>サンプル数：
・試作本体：3 台
・試作プローブ：3 本
使用機器：
・UART ロガー
・本体 3 台 + プローブ 3 本
・標準ケーブル</t>
        </is>
      </c>
      <c r="H76" s="307" t="inlineStr"/>
      <c r="J76" s="99" t="inlineStr"/>
      <c r="K76" s="298" t="n"/>
      <c r="L76" s="298" t="n"/>
      <c r="M76" s="298" t="n"/>
      <c r="N76" s="298" t="n"/>
      <c r="O76" s="284" t="n"/>
    </row>
    <row r="77" hidden="1" ht="80" customHeight="1" s="279">
      <c r="B77" s="309" t="n">
        <v>15</v>
      </c>
      <c r="C77" s="310" t="inlineStr">
        <is>
          <t>パススルー機能（P:）
【入力】
docs/protocol-rs232c.md
【目的】
P: プレフィックスでプローブと直接通信できることを確認する（保守用機能）</t>
        </is>
      </c>
      <c r="E77" s="301" t="inlineStr">
        <is>
          <t>①．パススルーコマンド応答試験
・P:VR\r\n、P:MD\r\n 等を本体 UART1 に送信
・プローブ応答が透過されて本体 UART1 に返ることを確認</t>
        </is>
      </c>
      <c r="F77" s="287" t="n"/>
      <c r="G77" s="281" t="n"/>
      <c r="H77" s="302" t="inlineStr">
        <is>
          <t>合否基準：
仕様どおり、プローブ応答が透過されること</t>
        </is>
      </c>
      <c r="I77" s="281" t="n"/>
      <c r="J77" s="303" t="inlineStr"/>
      <c r="K77" s="287" t="n"/>
      <c r="L77" s="287" t="n"/>
      <c r="M77" s="287" t="n"/>
      <c r="N77" s="287" t="n"/>
      <c r="O77" s="281" t="n"/>
      <c r="P77" s="304" t="inlineStr"/>
    </row>
    <row r="78" hidden="1" ht="60" customHeight="1" s="279">
      <c r="E78" s="293" t="n"/>
      <c r="G78" s="294" t="n"/>
      <c r="H78" s="293" t="n"/>
      <c r="I78" s="294" t="n"/>
      <c r="J78" s="293" t="n"/>
      <c r="O78" s="294" t="n"/>
      <c r="P78" s="290" t="n"/>
    </row>
    <row r="79" hidden="1" ht="60" customHeight="1" s="279">
      <c r="E79" s="283" t="n"/>
      <c r="F79" s="298" t="n"/>
      <c r="G79" s="284" t="n"/>
      <c r="H79" s="293" t="n"/>
      <c r="I79" s="294" t="n"/>
      <c r="J79" s="283" t="n"/>
      <c r="K79" s="298" t="n"/>
      <c r="L79" s="298" t="n"/>
      <c r="M79" s="298" t="n"/>
      <c r="N79" s="298" t="n"/>
      <c r="O79" s="284" t="n"/>
      <c r="P79" s="290" t="n"/>
    </row>
    <row r="80" hidden="1" ht="100" customHeight="1" s="279">
      <c r="C80" s="305" t="inlineStr">
        <is>
          <t>docs/protocol-rs232c.md</t>
        </is>
      </c>
      <c r="E80" s="306" t="inlineStr">
        <is>
          <t>サンプル数：
・試作本体：3 台
・試作プローブ：3 本
使用機器：
・UART ロガー
・テスト用 PC（UART ターミナル）
・本体 3 台 + プローブ 3 本</t>
        </is>
      </c>
      <c r="H80" s="307" t="inlineStr"/>
      <c r="J80" s="308" t="inlineStr"/>
      <c r="P80" s="290" t="n"/>
    </row>
    <row r="81" hidden="1" ht="80" customHeight="1" s="279">
      <c r="B81" s="309" t="n">
        <v>16</v>
      </c>
      <c r="C81" s="310" t="inlineStr">
        <is>
          <t>デバッグ UART テストコマンド
【入力】
設計仕様書 No.134
【目的】
背面 CN2 経由のデバッグ UART で測定中にテストコマンドが動作することを確認する</t>
        </is>
      </c>
      <c r="E81" s="311" t="inlineStr">
        <is>
          <t>①．テストコマンド応答確認
・CN2 にデバッグ機を接続
・設計仕様で定めた各種テストコマンドを送信し、応答を確認
・測定中の動作に干渉が無いこと</t>
        </is>
      </c>
      <c r="H81" s="312" t="inlineStr">
        <is>
          <t>合否基準：
仕様コマンドが応答、測定中の干渉無し</t>
        </is>
      </c>
      <c r="J81" s="313" t="inlineStr"/>
      <c r="P81" s="314" t="inlineStr"/>
    </row>
    <row r="82" hidden="1" ht="60" customHeight="1" s="279"/>
    <row r="83" hidden="1" ht="60" customHeight="1" s="279"/>
    <row r="84" hidden="1" ht="100" customHeight="1" s="279">
      <c r="C84" s="305" t="inlineStr">
        <is>
          <t>設計仕様書 No.134</t>
        </is>
      </c>
      <c r="E84" s="306" t="inlineStr">
        <is>
          <t>サンプル数：
・試作本体：3 台
使用機器：
・デバッグ UART 機（CN2 用 USB-UART 変換）
・テスト用 PC（UART ターミナル）
・本体 3 台</t>
        </is>
      </c>
      <c r="H84" s="307" t="inlineStr"/>
      <c r="J84" s="308" t="inlineStr"/>
    </row>
    <row r="85" hidden="1" ht="80" customHeight="1" s="279">
      <c r="B85" s="309" t="n">
        <v>17</v>
      </c>
      <c r="C85" s="310" t="inlineStr">
        <is>
          <t>EEPROM 書込／読出整合性
【入力】
設計仕様書（EEPROM v2.0 レイアウト）
【目的】
M95256 への全パラメータ書込→電源 OFF→ON で正確に復元できることを確認する</t>
        </is>
      </c>
      <c r="E85" s="301" t="inlineStr">
        <is>
          <t>①．書込/読出 100 回繰返し
・校正値（MLSS/SS/TR/Depth 全種）、相関式設定、界面しきい値、設定メニュー全項目を書込
・電源 OFF→ON で書込前と一致確認
・これを 100 回繰返し</t>
        </is>
      </c>
      <c r="F85" s="287" t="n"/>
      <c r="G85" s="281" t="n"/>
      <c r="H85" s="302" t="inlineStr">
        <is>
          <t>合否基準：
全項目一致、不一致 0 件</t>
        </is>
      </c>
      <c r="I85" s="281" t="n"/>
      <c r="J85" s="303" t="inlineStr"/>
      <c r="K85" s="287" t="n"/>
      <c r="L85" s="287" t="n"/>
      <c r="M85" s="287" t="n"/>
      <c r="N85" s="287" t="n"/>
      <c r="O85" s="281" t="n"/>
      <c r="P85" s="304" t="inlineStr"/>
    </row>
    <row r="86" hidden="1" ht="60" customHeight="1" s="279">
      <c r="E86" s="293" t="n"/>
      <c r="G86" s="294" t="n"/>
      <c r="H86" s="293" t="n"/>
      <c r="I86" s="294" t="n"/>
      <c r="J86" s="293" t="n"/>
      <c r="O86" s="294" t="n"/>
      <c r="P86" s="290" t="n"/>
    </row>
    <row r="87" hidden="1" ht="60" customHeight="1" s="279">
      <c r="E87" s="283" t="n"/>
      <c r="F87" s="298" t="n"/>
      <c r="G87" s="284" t="n"/>
      <c r="H87" s="293" t="n"/>
      <c r="I87" s="294" t="n"/>
      <c r="J87" s="283" t="n"/>
      <c r="K87" s="298" t="n"/>
      <c r="L87" s="298" t="n"/>
      <c r="M87" s="298" t="n"/>
      <c r="N87" s="298" t="n"/>
      <c r="O87" s="284" t="n"/>
      <c r="P87" s="290" t="n"/>
    </row>
    <row r="88" hidden="1" ht="100" customHeight="1" s="279">
      <c r="C88" s="305" t="inlineStr">
        <is>
          <t>設計仕様書
(EEPROM v2.0 レイアウト)</t>
        </is>
      </c>
      <c r="E88" s="306" t="inlineStr">
        <is>
          <t>サンプル数：
・試作本体：3 台
使用機器：
・本体 3 台
・テスト用 PC（書込スクリプト実行）
・UART デバッグ機（パラメータ確認用）</t>
        </is>
      </c>
      <c r="H88" s="307" t="inlineStr"/>
      <c r="J88" s="308" t="inlineStr"/>
      <c r="P88" s="297" t="n"/>
    </row>
    <row r="89" hidden="1" ht="80" customHeight="1" s="279">
      <c r="B89" s="309" t="n">
        <v>18</v>
      </c>
      <c r="C89" s="310" t="inlineStr">
        <is>
          <t>EEPROM 停電時保護
【入力】
設計仕様書（マジックバイト auto-repair）
【目的】
書込中の電源断でも自動復旧 or デフォルト値で起動できることを確認する</t>
        </is>
      </c>
      <c r="E89" s="311" t="inlineStr">
        <is>
          <t>①．書込中強制 OFF 試験
・パラメータ書込中（W コマンド処理中）に電源 SW を強制 OFF
・電源 ON で起動動作とパラメータ整合性を確認
・10 回繰返し</t>
        </is>
      </c>
      <c r="H89" s="312" t="inlineStr">
        <is>
          <t>合否基準：
フリーズ無、起動成功、整合性チェック OK</t>
        </is>
      </c>
      <c r="J89" s="313" t="inlineStr"/>
      <c r="P89" s="314" t="inlineStr"/>
    </row>
    <row r="90" hidden="1" ht="60" customHeight="1" s="279"/>
    <row r="91" hidden="1" ht="60" customHeight="1" s="279"/>
    <row r="92" hidden="1" ht="100" customHeight="1" s="279">
      <c r="C92" s="305" t="inlineStr">
        <is>
          <t>設計仕様書
(マジックバイト auto-repair)</t>
        </is>
      </c>
      <c r="E92" s="306" t="inlineStr">
        <is>
          <t>サンプル数：
・試作本体：3 台
使用機器：
・本体 3 台
・電源スイッチ（強制 OFF 用）</t>
        </is>
      </c>
      <c r="H92" s="307" t="inlineStr"/>
      <c r="J92" s="308" t="inlineStr"/>
    </row>
    <row r="93" ht="80" customHeight="1" s="279">
      <c r="B93" s="309" t="n">
        <v>19</v>
      </c>
      <c r="C93" s="310" t="inlineStr">
        <is>
          <t>測定履歴保存・読出・消去
【入力】
設計仕様書 No.88, 89, 90
【目的】
測定履歴が仕様どおり保存・確認・消去できることを確認する</t>
        </is>
      </c>
      <c r="E93" s="301" t="inlineStr">
        <is>
          <t>①．各種別 10 件保存 + FIFO 動作
・MLSS / 透視度 / SS / 界面 で測定値を 10 件ずつ保存
・11 件目で最古エントリが上書きされる FIFO 動作確認
②．保存項目内容確認
・MLSS：測定日時 / 相関式No. / MLSS 値 / 水深
・透視度：測定日時 / 透視度値
・SS：測定日時 / SS 値
・界面：測定日時 / しきい値 / 水深
③．履歴確認・消去機能</t>
        </is>
      </c>
      <c r="F93" s="287" t="n"/>
      <c r="G93" s="281" t="n"/>
      <c r="H93" s="302" t="inlineStr">
        <is>
          <t>合否基準：
各種別 10 件保存、FIFO 動作、項目内容仕様どおり、消去機能 OK</t>
        </is>
      </c>
      <c r="I93" s="281" t="n"/>
      <c r="J93" s="303" t="inlineStr"/>
      <c r="K93" s="287" t="n"/>
      <c r="L93" s="287" t="n"/>
      <c r="M93" s="287" t="n"/>
      <c r="N93" s="287" t="n"/>
      <c r="O93" s="281" t="n"/>
      <c r="P93" s="304" t="inlineStr"/>
    </row>
    <row r="94" ht="60" customHeight="1" s="279">
      <c r="E94" s="293" t="n"/>
      <c r="G94" s="294" t="n"/>
      <c r="H94" s="293" t="n"/>
      <c r="I94" s="294" t="n"/>
      <c r="J94" s="293" t="n"/>
      <c r="O94" s="294" t="n"/>
      <c r="P94" s="290" t="n"/>
    </row>
    <row r="95" ht="60" customHeight="1" s="279">
      <c r="E95" s="293" t="n"/>
      <c r="G95" s="294" t="n"/>
      <c r="H95" s="283" t="n"/>
      <c r="I95" s="284" t="n"/>
      <c r="J95" s="283" t="n"/>
      <c r="K95" s="298" t="n"/>
      <c r="L95" s="298" t="n"/>
      <c r="M95" s="298" t="n"/>
      <c r="N95" s="298" t="n"/>
      <c r="O95" s="284" t="n"/>
      <c r="P95" s="290" t="n"/>
    </row>
    <row r="96" ht="100" customHeight="1" s="279">
      <c r="C96" s="305" t="inlineStr">
        <is>
          <t>設計仕様書 No.88, 89, 90</t>
        </is>
      </c>
      <c r="E96" s="306" t="inlineStr">
        <is>
          <t>サンプル数：
・試作本体：3 台
・試作プローブ：3 本
使用機器：
・本体 3 台 + プローブ 3 本
・標準液（4 種別の測定）
・テスト用 PC（履歴ダウンロード/確認）</t>
        </is>
      </c>
      <c r="H96" s="307" t="inlineStr"/>
      <c r="J96" s="308" t="inlineStr"/>
      <c r="P96" s="297" t="n"/>
    </row>
    <row r="97" ht="80" customHeight="1" s="279">
      <c r="B97" s="309" t="n">
        <v>20</v>
      </c>
      <c r="C97" s="310" t="inlineStr">
        <is>
          <t>RTC 精度
【入力】
設計仕様書 No.91, 92（R2045S）
【目的】
長期運用で日時ずれが許容内、表示形式が仕様どおりであることを確認する</t>
        </is>
      </c>
      <c r="E97" s="311" t="inlineStr">
        <is>
          <t>①．長期月差測定（温度別）
・標準時刻と本体時刻を同期
・30 日後の差分を測定（20℃ / 5℃ / 35℃ 各温度）
②．カレンダー表示形式
・画面上段に「YY/MM/DD HH:mm」形式で表示されることを確認</t>
        </is>
      </c>
      <c r="H97" s="312" t="inlineStr">
        <is>
          <t>合否基準：
・月差 ±20 秒/月以内（暫定：R2045S DS ±5ppm @25℃ ≒ 13 秒/月 + 温度マージン）
・表示形式仕様どおり</t>
        </is>
      </c>
      <c r="J97" s="313" t="inlineStr"/>
      <c r="P97" s="314" t="inlineStr"/>
    </row>
    <row r="98" ht="60" customHeight="1" s="279"/>
    <row r="99" ht="60" customHeight="1" s="279"/>
    <row r="100" ht="100" customHeight="1" s="279">
      <c r="C100" s="305" t="inlineStr">
        <is>
          <t>設計仕様書 No.91, 92</t>
        </is>
      </c>
      <c r="E100" s="306" t="inlineStr">
        <is>
          <t>サンプル数：
・試作本体：3 台
使用機器：
・標準時計（GPS or NTP 同期、精度 ±1 秒）
・恒温槽（5/20/35℃）
・本体 3 台</t>
        </is>
      </c>
      <c r="H100" s="307" t="inlineStr"/>
      <c r="J100" s="308" t="inlineStr"/>
    </row>
    <row r="101" ht="80" customHeight="1" s="279">
      <c r="B101" s="299" t="n">
        <v>21</v>
      </c>
      <c r="C101" s="300" t="inlineStr">
        <is>
          <t>本体動作温度範囲
【入力】
設計仕様書 No.45（使用温度）
【目的】
本体電子回路が 0/5/20/35/40℃ で全機能動作することを確認する</t>
        </is>
      </c>
      <c r="D101" s="281" t="n"/>
      <c r="E101" s="301" t="inlineStr">
        <is>
          <t>①．各温度動作確認
・恒温槽内で各温度 1h 浸漬
・浸漬後に起動／測定／EEPROM 書込／RTC 表示／プローブ通信 を確認</t>
        </is>
      </c>
      <c r="F101" s="287" t="n"/>
      <c r="G101" s="281" t="n"/>
      <c r="H101" s="302" t="inlineStr">
        <is>
          <t>合否基準：
全機能動作、表示異常無し</t>
        </is>
      </c>
      <c r="I101" s="281" t="n"/>
      <c r="J101" s="303" t="inlineStr"/>
      <c r="K101" s="287" t="n"/>
      <c r="L101" s="287" t="n"/>
      <c r="M101" s="287" t="n"/>
      <c r="N101" s="287" t="n"/>
      <c r="O101" s="281" t="n"/>
      <c r="P101" s="304" t="inlineStr"/>
    </row>
    <row r="102" ht="60" customHeight="1" s="279">
      <c r="B102" s="290" t="n"/>
      <c r="C102" s="293" t="n"/>
      <c r="D102" s="294" t="n"/>
      <c r="E102" s="293" t="n"/>
      <c r="G102" s="294" t="n"/>
      <c r="H102" s="293" t="n"/>
      <c r="I102" s="294" t="n"/>
      <c r="J102" s="293" t="n"/>
      <c r="O102" s="294" t="n"/>
      <c r="P102" s="290" t="n"/>
    </row>
    <row r="103" ht="60" customHeight="1" s="279">
      <c r="B103" s="290" t="n"/>
      <c r="C103" s="293" t="n"/>
      <c r="D103" s="294" t="n"/>
      <c r="E103" s="283" t="n"/>
      <c r="F103" s="298" t="n"/>
      <c r="G103" s="284" t="n"/>
      <c r="H103" s="293" t="n"/>
      <c r="I103" s="294" t="n"/>
      <c r="J103" s="283" t="n"/>
      <c r="K103" s="298" t="n"/>
      <c r="L103" s="298" t="n"/>
      <c r="M103" s="298" t="n"/>
      <c r="N103" s="298" t="n"/>
      <c r="O103" s="284" t="n"/>
      <c r="P103" s="290" t="n"/>
    </row>
    <row r="104" ht="100" customHeight="1" s="279">
      <c r="B104" s="297" t="n"/>
      <c r="C104" s="305" t="inlineStr">
        <is>
          <t>設計仕様書 No.45</t>
        </is>
      </c>
      <c r="E104" s="306" t="inlineStr">
        <is>
          <t>サンプル数：
・試作本体：3 台
・試作プローブ：3 本
使用機器：
・恒温槽（0/5/20/35/40℃ 設定可）
・本体 3 台 + プローブ 3 本
・標準液</t>
        </is>
      </c>
      <c r="H104" s="307" t="inlineStr"/>
      <c r="J104" s="308" t="inlineStr"/>
      <c r="P104" s="290" t="n"/>
    </row>
    <row r="105" ht="80" customHeight="1" s="279">
      <c r="B105" s="309" t="n">
        <v>22</v>
      </c>
      <c r="C105" s="310" t="inlineStr">
        <is>
          <t>高温保管（車中相当）
【入力】
設計仕様書 No.46（保管温度）
【目的】
夏場車中相当の高温保管後も正常動作することを確認する</t>
        </is>
      </c>
      <c r="E105" s="311" t="inlineStr">
        <is>
          <t>①．60℃ × 24h 保管後動作確認
・電源 OFF 状態で恒温槽 60℃ × 24h 保管
・常温復帰後、起動／測定／EEPROM データ保持を確認
（暫定：プローブ計画ヒートサイクル上端温度を流用）</t>
        </is>
      </c>
      <c r="H105" s="312" t="inlineStr">
        <is>
          <t>合否基準：
動作正常、表示正常、データ保持 OK</t>
        </is>
      </c>
      <c r="J105" s="313" t="inlineStr"/>
      <c r="P105" s="314" t="inlineStr"/>
    </row>
    <row r="106" ht="60" customHeight="1" s="279"/>
    <row r="107" ht="60" customHeight="1" s="279"/>
    <row r="108" ht="100" customHeight="1" s="279">
      <c r="C108" s="305" t="inlineStr">
        <is>
          <t>設計仕様書 No.46
プローブ計画流用</t>
        </is>
      </c>
      <c r="E108" s="306" t="inlineStr">
        <is>
          <t>サンプル数：
・試作本体：3 台
使用機器：
・恒温槽（60℃ 設定可）
・本体 3 台</t>
        </is>
      </c>
      <c r="H108" s="307" t="inlineStr"/>
      <c r="J108" s="308" t="inlineStr"/>
    </row>
    <row r="109" hidden="1" ht="80" customHeight="1" s="279">
      <c r="B109" s="309" t="n">
        <v>23</v>
      </c>
      <c r="C109" s="310" t="inlineStr">
        <is>
          <t>ヒートサイクル試験（本体）
【入力】
設計仕様書 No.55, 56, 63, 165
【目的】
7 年相当のヒートサイクル後も本体機能が維持されることを確認する</t>
        </is>
      </c>
      <c r="E109" s="301" t="inlineStr">
        <is>
          <t>①．ヒートサイクル後の全機能評価
・-5℃〜60℃ × 34 回/年 × 7 年（プローブ計画と同基準）
・サイクル前後で起動／測定／表示／通信／EEPROM／RTC を全評価</t>
        </is>
      </c>
      <c r="F109" s="287" t="n"/>
      <c r="G109" s="281" t="n"/>
      <c r="H109" s="302" t="inlineStr">
        <is>
          <t>合否基準：
サイクル後も全機能合格、表示異常無し</t>
        </is>
      </c>
      <c r="I109" s="281" t="n"/>
      <c r="J109" s="303" t="inlineStr"/>
      <c r="K109" s="287" t="n"/>
      <c r="L109" s="287" t="n"/>
      <c r="M109" s="287" t="n"/>
      <c r="N109" s="287" t="n"/>
      <c r="O109" s="281" t="n"/>
      <c r="P109" s="304" t="inlineStr"/>
    </row>
    <row r="110" hidden="1" ht="60" customHeight="1" s="279">
      <c r="E110" s="293" t="n"/>
      <c r="G110" s="294" t="n"/>
      <c r="H110" s="293" t="n"/>
      <c r="I110" s="294" t="n"/>
      <c r="J110" s="293" t="n"/>
      <c r="O110" s="294" t="n"/>
      <c r="P110" s="290" t="n"/>
    </row>
    <row r="111" hidden="1" ht="60" customHeight="1" s="279">
      <c r="E111" s="283" t="n"/>
      <c r="F111" s="298" t="n"/>
      <c r="G111" s="284" t="n"/>
      <c r="H111" s="293" t="n"/>
      <c r="I111" s="294" t="n"/>
      <c r="J111" s="283" t="n"/>
      <c r="K111" s="298" t="n"/>
      <c r="L111" s="298" t="n"/>
      <c r="M111" s="298" t="n"/>
      <c r="N111" s="298" t="n"/>
      <c r="O111" s="284" t="n"/>
      <c r="P111" s="290" t="n"/>
    </row>
    <row r="112" hidden="1" ht="100" customHeight="1" s="279">
      <c r="C112" s="305" t="inlineStr">
        <is>
          <t>設計仕様書 No.55,56,63,165
プローブ計画 項目12 と平行</t>
        </is>
      </c>
      <c r="E112" s="306" t="inlineStr">
        <is>
          <t>サンプル数：
・試作本体：3 台
使用機器：
・ヒートサイクル試験機
・本体 3 台
・標準液（試験前後測定用）</t>
        </is>
      </c>
      <c r="H112" s="307" t="inlineStr"/>
      <c r="J112" s="308" t="inlineStr"/>
      <c r="P112" s="290" t="n"/>
    </row>
    <row r="113" hidden="1" ht="80" customHeight="1" s="279">
      <c r="B113" s="309" t="n">
        <v>24</v>
      </c>
      <c r="C113" s="310" t="inlineStr">
        <is>
          <t>振動試験（本体）
【入力】
設計仕様書 No.60, 63
【目的】
輸送振動・常用振動で本体の機械的破損・電気接続不良が無きことを確認する</t>
        </is>
      </c>
      <c r="E113" s="311" t="inlineStr">
        <is>
          <t>①．5 年相当の振動試験
・社内振動試験機で 27 日相当（5 年相当）の振動を加える
・振動後に起動／測定／表示／通信を確認</t>
        </is>
      </c>
      <c r="H113" s="312" t="inlineStr">
        <is>
          <t>合否基準：
振動後も全機能合格、外観破損無し</t>
        </is>
      </c>
      <c r="J113" s="313" t="inlineStr"/>
      <c r="P113" s="314" t="inlineStr"/>
    </row>
    <row r="114" hidden="1" ht="60" customHeight="1" s="279"/>
    <row r="115" hidden="1" ht="60" customHeight="1" s="279"/>
    <row r="116" hidden="1" ht="100" customHeight="1" s="279">
      <c r="C116" s="305" t="inlineStr">
        <is>
          <t>設計仕様書 No.60, 63
プローブ計画 項目9 と平行</t>
        </is>
      </c>
      <c r="E116" s="306" t="inlineStr">
        <is>
          <t>サンプル数：
・試作本体：3 台
使用機器：
・社内振動試験機
・本体 3 台</t>
        </is>
      </c>
      <c r="H116" s="307" t="inlineStr"/>
      <c r="J116" s="308" t="inlineStr"/>
    </row>
    <row r="117" hidden="1" ht="80" customHeight="1" s="279">
      <c r="B117" s="309" t="n">
        <v>25</v>
      </c>
      <c r="C117" s="310" t="inlineStr">
        <is>
          <t>落下試験（本体筐体）
【入力】
設計仕様書 No.51, 61
【目的】
手元から落下しても本体破損が無いことを確認する</t>
        </is>
      </c>
      <c r="E117" s="301" t="inlineStr">
        <is>
          <t>①．2m 落下 × 10 回
・2m の高さから 10 回落下（6 面 + 2 角）
・落下前後で機能確認</t>
        </is>
      </c>
      <c r="F117" s="287" t="n"/>
      <c r="G117" s="281" t="n"/>
      <c r="H117" s="302" t="inlineStr">
        <is>
          <t>合否基準：
機能維持、致命的破損無し（表示割れ、ボタン陥没等不可）</t>
        </is>
      </c>
      <c r="I117" s="281" t="n"/>
      <c r="J117" s="303" t="inlineStr"/>
      <c r="K117" s="287" t="n"/>
      <c r="L117" s="287" t="n"/>
      <c r="M117" s="287" t="n"/>
      <c r="N117" s="287" t="n"/>
      <c r="O117" s="281" t="n"/>
      <c r="P117" s="304" t="inlineStr"/>
    </row>
    <row r="118" hidden="1" ht="60" customHeight="1" s="279">
      <c r="E118" s="293" t="n"/>
      <c r="G118" s="294" t="n"/>
      <c r="H118" s="293" t="n"/>
      <c r="I118" s="294" t="n"/>
      <c r="J118" s="293" t="n"/>
      <c r="O118" s="294" t="n"/>
      <c r="P118" s="290" t="n"/>
    </row>
    <row r="119" hidden="1" ht="60" customHeight="1" s="279">
      <c r="E119" s="283" t="n"/>
      <c r="F119" s="298" t="n"/>
      <c r="G119" s="284" t="n"/>
      <c r="H119" s="293" t="n"/>
      <c r="I119" s="294" t="n"/>
      <c r="J119" s="283" t="n"/>
      <c r="K119" s="298" t="n"/>
      <c r="L119" s="298" t="n"/>
      <c r="M119" s="298" t="n"/>
      <c r="N119" s="298" t="n"/>
      <c r="O119" s="284" t="n"/>
      <c r="P119" s="290" t="n"/>
    </row>
    <row r="120" hidden="1" ht="100" customHeight="1" s="279">
      <c r="C120" s="305" t="inlineStr">
        <is>
          <t>設計仕様書 No.51, 61
プローブ計画 項目13 と平行</t>
        </is>
      </c>
      <c r="E120" s="306" t="inlineStr">
        <is>
          <t>サンプル数：
・試作本体：3 台
使用機器：
・落下試験治具（2m）
・本体 3 台</t>
        </is>
      </c>
      <c r="H120" s="307" t="inlineStr"/>
      <c r="J120" s="308" t="inlineStr"/>
      <c r="P120" s="297" t="n"/>
    </row>
    <row r="121" hidden="1" ht="80" customHeight="1" s="279">
      <c r="B121" s="309" t="n">
        <v>26</v>
      </c>
      <c r="C121" s="310" t="inlineStr">
        <is>
          <t>防水・防塵
【入力】
設計仕様書 No.52, 62
【目的】
本体筐体が定格保護等級を満たすことを確認する</t>
        </is>
      </c>
      <c r="E121" s="311" t="inlineStr">
        <is>
          <t>①．防滴試験 IPX4 相当
・上面・側面から水滴を 10 分間噴射
・試験後に内部浸水・動作異常の有無を確認
・プローブ部は別途プローブ計画項目 8 で評価済み</t>
        </is>
      </c>
      <c r="H121" s="312" t="inlineStr">
        <is>
          <t>合否基準：
本体筐体内部に浸水無し、試験後の動作正常
（暫定：IPX4 相当）</t>
        </is>
      </c>
      <c r="J121" s="313" t="inlineStr"/>
      <c r="P121" s="314" t="inlineStr"/>
    </row>
    <row r="122" hidden="1" ht="60" customHeight="1" s="279"/>
    <row r="123" hidden="1" ht="60" customHeight="1" s="279"/>
    <row r="124" hidden="1" ht="100" customHeight="1" s="279">
      <c r="C124" s="305" t="inlineStr">
        <is>
          <t>設計仕様書 No.52, 62</t>
        </is>
      </c>
      <c r="E124" s="306" t="inlineStr">
        <is>
          <t>サンプル数：
・試作本体：3 台
使用機器：
・散水装置（IPX4 試験用、シャワーヘッド）
・本体 3 台
・タオル（試験後拭取り）</t>
        </is>
      </c>
      <c r="H124" s="307" t="inlineStr"/>
      <c r="J124" s="308" t="inlineStr"/>
    </row>
    <row r="125" ht="80" customHeight="1" s="279">
      <c r="B125" s="309" t="n">
        <v>27</v>
      </c>
      <c r="C125" s="310" t="inlineStr">
        <is>
          <t>静電気試験 (ESD)
【入力】
設計仕様書 No.55（耐ノイズ性）
IM-100P 抜取り検査 検査-3308-11
【目的】
1〜4kV の静電気放電で誤動作・フリーズが無きことを確認する</t>
        </is>
      </c>
      <c r="E125" s="301" t="inlineStr">
        <is>
          <t>①．ESD ガン接触放電
・本体パネル各箇所、ボタン、コネクタ（CN1 SWD、CN2 デバッグ、CN4 プローブ）、ケース外装に 1kV / 2kV / 4kV 接触放電
・放電中・放電後の指示値変動、フリーズ有無を確認
②．バケツ静電気試験（IM-100P 流用）
・ポリバケツに水を張りプローブを入れ、バケツを擦って静電気を発生
・測定中の指示値変動を確認</t>
        </is>
      </c>
      <c r="F125" s="287" t="n"/>
      <c r="G125" s="281" t="n"/>
      <c r="H125" s="302" t="inlineStr">
        <is>
          <t>合否基準：
値のふらつき無し、フリーズ無し、再起動不要</t>
        </is>
      </c>
      <c r="I125" s="281" t="n"/>
      <c r="J125" s="303" t="inlineStr"/>
      <c r="K125" s="287" t="n"/>
      <c r="L125" s="287" t="n"/>
      <c r="M125" s="287" t="n"/>
      <c r="N125" s="287" t="n"/>
      <c r="O125" s="281" t="n"/>
      <c r="P125" s="304" t="inlineStr"/>
    </row>
    <row r="126" ht="60" customHeight="1" s="279">
      <c r="E126" s="293" t="n"/>
      <c r="G126" s="294" t="n"/>
      <c r="H126" s="293" t="n"/>
      <c r="I126" s="294" t="n"/>
      <c r="J126" s="293" t="n"/>
      <c r="O126" s="294" t="n"/>
      <c r="P126" s="290" t="n"/>
    </row>
    <row r="127" ht="60" customHeight="1" s="279">
      <c r="E127" s="293" t="n"/>
      <c r="G127" s="294" t="n"/>
      <c r="H127" s="283" t="n"/>
      <c r="I127" s="284" t="n"/>
      <c r="J127" s="283" t="n"/>
      <c r="K127" s="298" t="n"/>
      <c r="L127" s="298" t="n"/>
      <c r="M127" s="298" t="n"/>
      <c r="N127" s="298" t="n"/>
      <c r="O127" s="284" t="n"/>
      <c r="P127" s="290" t="n"/>
    </row>
    <row r="128" ht="100" customHeight="1" s="279">
      <c r="C128" s="305" t="inlineStr">
        <is>
          <t>設計仕様書 No.55
IM-100P 検査-3308-11</t>
        </is>
      </c>
      <c r="E128" s="306" t="inlineStr">
        <is>
          <t>サンプル数：
・試作本体：3 台
・試作プローブ：3 本
使用機器：
・ESD ガン（1〜4kV 接触放電対応）
・本体 3 台 + プローブ 3 本
・ポリバケツ + 水（バケツ試験用）
・標準液</t>
        </is>
      </c>
      <c r="H128" s="307" t="inlineStr"/>
      <c r="J128" s="308" t="inlineStr"/>
      <c r="P128" s="297" t="n"/>
    </row>
    <row r="129" ht="80" customHeight="1" s="279">
      <c r="B129" s="309" t="n">
        <v>28</v>
      </c>
      <c r="C129" s="310" t="inlineStr">
        <is>
          <t>応答時間・移動平均（本体動作確認）
【入力】
設計仕様書 No.36
【目的】
本体側の移動平均および安定判断時間が仕様範囲内に収まることを確認する（プログラム評価とは別観点で実機動作を確認）</t>
        </is>
      </c>
      <c r="E129" s="311" t="inlineStr">
        <is>
          <t>①．移動平均時間計測
・標準液で測定し、表示値の追従性（指示値が ≥ 95% に到達するまでの時間）を計測
・本体側移動平均（MAIN_AD_AVE_COUNT 件 × MD 周期）が仕様範囲：
  - MLSS/SS/透視度：設定 5（旧 IM 設定 20、約 8 秒）
  - 水深：リアルタイム（約 1 秒、5 点移動平均相当）
②．マイナス表示無し確認
・MLSS/SS で標準液 0mg/L 測定時にマイナス表示しないこと</t>
        </is>
      </c>
      <c r="H129" s="312" t="inlineStr">
        <is>
          <t>合否基準：
・移動平均時間が仕様範囲内
・マイナス表示無し
・安定判断到達時間が IM-100P 設定 20 同等</t>
        </is>
      </c>
      <c r="J129" s="313" t="inlineStr"/>
      <c r="P129" s="314" t="inlineStr"/>
    </row>
    <row r="130" ht="60" customHeight="1" s="279"/>
    <row r="131" ht="60" customHeight="1" s="279"/>
    <row r="132" ht="100" customHeight="1" s="279">
      <c r="C132" s="305" t="inlineStr">
        <is>
          <t>設計仕様書 No.36</t>
        </is>
      </c>
      <c r="E132" s="306" t="inlineStr">
        <is>
          <t>サンプル数：
・試作本体：3 台
・試作プローブ：3 本
使用機器：
・標準液（MLSS / SS / 透視度 / 水深）
・ストップウォッチ
・本体 3 台 + プローブ 3 本
・IM-100P 基準器（比較用）</t>
        </is>
      </c>
      <c r="H132" s="307" t="inlineStr"/>
      <c r="J132" s="308" t="inlineStr"/>
    </row>
    <row r="133" ht="80" customHeight="1" s="279">
      <c r="B133" s="299" t="n">
        <v>29</v>
      </c>
      <c r="C133" s="300" t="inlineStr">
        <is>
          <t>ウォッチドッグ機能（本体動作確認）
【入力】
設計仕様書 No.131
【目的】
ハードウェア WDT が 1 秒 CPU 応答無で電源 OFF（リセット）を実施することを確認する</t>
        </is>
      </c>
      <c r="D133" s="281" t="n"/>
      <c r="E133" s="315" t="inlineStr">
        <is>
          <t>①．ハングシミュレート
・デバッグ UART からハングシミュレートコマンド送信、または無限ループ FW を書込み
・リセットまでの時間を計測（オシロスコープで電源 / リセット信号観測）</t>
        </is>
      </c>
      <c r="F133" s="287" t="n"/>
      <c r="G133" s="281" t="n"/>
      <c r="H133" s="316" t="inlineStr">
        <is>
          <t>合否基準：
1 秒以内に電源 OFF / リセット動作</t>
        </is>
      </c>
      <c r="I133" s="281" t="n"/>
      <c r="J133" s="303" t="inlineStr"/>
      <c r="K133" s="287" t="n"/>
      <c r="L133" s="287" t="n"/>
      <c r="M133" s="287" t="n"/>
      <c r="N133" s="287" t="n"/>
      <c r="O133" s="281" t="n"/>
      <c r="P133" s="304" t="inlineStr"/>
    </row>
    <row r="134" ht="60" customHeight="1" s="279">
      <c r="B134" s="290" t="n"/>
      <c r="C134" s="293" t="n"/>
      <c r="D134" s="294" t="n"/>
      <c r="E134" s="293" t="n"/>
      <c r="G134" s="294" t="n"/>
      <c r="H134" s="293" t="n"/>
      <c r="I134" s="294" t="n"/>
      <c r="J134" s="293" t="n"/>
      <c r="O134" s="294" t="n"/>
      <c r="P134" s="290" t="n"/>
    </row>
    <row r="135" ht="60" customHeight="1" s="279">
      <c r="B135" s="290" t="n"/>
      <c r="C135" s="293" t="n"/>
      <c r="D135" s="294" t="n"/>
      <c r="E135" s="283" t="n"/>
      <c r="F135" s="298" t="n"/>
      <c r="G135" s="284" t="n"/>
      <c r="H135" s="283" t="n"/>
      <c r="I135" s="284" t="n"/>
      <c r="J135" s="283" t="n"/>
      <c r="K135" s="298" t="n"/>
      <c r="L135" s="298" t="n"/>
      <c r="M135" s="298" t="n"/>
      <c r="N135" s="298" t="n"/>
      <c r="O135" s="284" t="n"/>
      <c r="P135" s="290" t="n"/>
    </row>
    <row r="136" ht="100" customHeight="1" s="279">
      <c r="B136" s="297" t="n"/>
      <c r="C136" s="305" t="inlineStr">
        <is>
          <t>設計仕様書 No.131</t>
        </is>
      </c>
      <c r="E136" s="306" t="inlineStr">
        <is>
          <t>サンプル数：
・試作本体：3 台
使用機器：
・デバッグ UART 機
・オシロスコープ（電源・リセット信号観測）
・本体 3 台
・テスト用 FW（無限ループ版）</t>
        </is>
      </c>
      <c r="H136" s="307" t="inlineStr"/>
      <c r="J136" s="99" t="inlineStr"/>
      <c r="K136" s="287" t="n"/>
      <c r="L136" s="287" t="n"/>
      <c r="M136" s="287" t="n"/>
      <c r="N136" s="287" t="n"/>
      <c r="O136" s="281" t="n"/>
      <c r="P136" s="297" t="n"/>
    </row>
    <row r="137" ht="80" customHeight="1" s="279">
      <c r="B137" s="309" t="n">
        <v>30</v>
      </c>
      <c r="C137" s="310" t="inlineStr">
        <is>
          <t>界面判断機能（本体動作確認）
【入力】
設計仕様書 No.161
【目的】
本体側の界面判断ロジック（MLSS 閾値判定、グラフ表示、投下速度表示）が仕様どおり動作することを確認する</t>
        </is>
      </c>
      <c r="E137" s="311" t="inlineStr">
        <is>
          <t>①．界面深度捕捉確認
・標準液でプローブを上下、MLSS が界面しきい値を越えた瞬間の水深保持（Interface_Hold）を確認
②．グラフ表示確認
・水深 vs MLSS のグラフが画面に正しく描画されること
③．投下速度・IM-100P 同等性
・投下速度 (m/s) の表示確認
・同一サンプルで IM-100P と本機の判定結果を比較</t>
        </is>
      </c>
      <c r="H137" s="312" t="inlineStr">
        <is>
          <t>合否基準：
・IM-100P と同等の判定精度
・グラフ表示・投下速度表示が仕様どおり</t>
        </is>
      </c>
      <c r="J137" s="313" t="inlineStr"/>
      <c r="P137" s="314" t="inlineStr"/>
    </row>
    <row r="138" ht="60" customHeight="1" s="279"/>
    <row r="139" ht="60" customHeight="1" s="279"/>
    <row r="140" ht="100" customHeight="1" s="279">
      <c r="C140" s="305" t="inlineStr">
        <is>
          <t>設計仕様書 No.161</t>
        </is>
      </c>
      <c r="E140" s="306" t="inlineStr">
        <is>
          <t>サンプル数：
・試作本体：3 台
・試作プローブ：3 本
使用機器：
・標準液（MLSS 低濃度／高濃度 2 種）
・IM-100P 基準器（比較用）
・本体 3 台 + プローブ 3 本</t>
        </is>
      </c>
      <c r="H140" s="307" t="inlineStr"/>
      <c r="J140" s="99" t="inlineStr"/>
      <c r="K140" s="287" t="n"/>
      <c r="L140" s="287" t="n"/>
      <c r="M140" s="287" t="n"/>
      <c r="N140" s="287" t="n"/>
      <c r="O140" s="281" t="n"/>
    </row>
    <row r="141" ht="80" customHeight="1" s="279">
      <c r="B141" s="309" t="n">
        <v>31</v>
      </c>
      <c r="C141" s="310" t="inlineStr">
        <is>
          <t>本体重量・寸法
【入力】
設計仕様書 No.49, 50
【目的】
設計目標重量・寸法を満たすことを確認する</t>
        </is>
      </c>
      <c r="E141" s="311" t="inlineStr">
        <is>
          <t>①．重量計測
・本体単体重量、ケーブル含む測定機構全体重量を電子秤で計測
②．寸法計測
・外寸法（縦・横・厚み）をノギスで計測</t>
        </is>
      </c>
      <c r="H141" s="312" t="inlineStr">
        <is>
          <t>合否基準：
設計目標値 ± 10%（暫定：ケース流用元 ID-160T 参考、製品設計仕様書確定後に再設定）</t>
        </is>
      </c>
      <c r="J141" s="313" t="inlineStr"/>
      <c r="P141" s="314" t="inlineStr"/>
    </row>
    <row r="142" ht="60" customHeight="1" s="279"/>
    <row r="143" ht="60" customHeight="1" s="279"/>
    <row r="144" ht="100" customHeight="1" s="279">
      <c r="C144" s="305" t="inlineStr">
        <is>
          <t>設計仕様書 No.49, 50</t>
        </is>
      </c>
      <c r="E144" s="306" t="inlineStr">
        <is>
          <t>サンプル数：
・試作本体：3 台
使用機器：
・電子秤（精度 ±1g）
・ノギス（精度 ±0.05mm）
・本体 3 台 + 標準ケーブル + プローブ</t>
        </is>
      </c>
      <c r="H144" s="307" t="inlineStr"/>
      <c r="J144" s="308" t="inlineStr"/>
    </row>
    <row r="145" ht="80" customHeight="1" s="279">
      <c r="B145" s="309" t="n">
        <v>32</v>
      </c>
      <c r="C145" s="310" t="inlineStr">
        <is>
          <t>本体製造原価
【入力】
設計仕様書 No.157
【目的】
センサー部以外の本体製造原価が目標値内であることを確認する</t>
        </is>
      </c>
      <c r="E145" s="311" t="inlineStr">
        <is>
          <t>①．BOM 集計
・量産 BOM ベースで本体構成部品の原価を集計
・センサー部（プローブ）を除外した本体単独原価を算出</t>
        </is>
      </c>
      <c r="H145" s="312" t="inlineStr">
        <is>
          <t>合否基準：
・原価倍率 5 倍以上（プローブ計画項目 14 流用）
・本体単独原価目標 = 全体目標 ¥25,090 − プローブ原価
（プローブ計画と並行で本体単独目標確定）</t>
        </is>
      </c>
      <c r="J145" s="313" t="inlineStr"/>
      <c r="P145" s="314" t="inlineStr"/>
    </row>
    <row r="146" ht="60" customHeight="1" s="279"/>
    <row r="147" ht="60" customHeight="1" s="279"/>
    <row r="148" ht="100" customHeight="1" s="279">
      <c r="C148" s="305" t="inlineStr">
        <is>
          <t>設計仕様書 No.157
プローブ計画 項目14 流用</t>
        </is>
      </c>
      <c r="E148" s="306" t="inlineStr">
        <is>
          <t>-</t>
        </is>
      </c>
      <c r="H148" s="307" t="inlineStr"/>
      <c r="J148" s="308" t="inlineStr"/>
    </row>
    <row r="149" s="279"/>
    <row r="150" s="279"/>
    <row r="151" s="279"/>
    <row r="152" s="279"/>
    <row r="153" s="279"/>
    <row r="154" s="279"/>
    <row r="155" s="279"/>
    <row r="156" s="279"/>
    <row r="157" s="279"/>
    <row r="158" s="279"/>
    <row r="159" s="279"/>
    <row r="160" s="279"/>
    <row r="161" s="279"/>
    <row r="162" s="279"/>
    <row r="163" s="279"/>
    <row r="164" s="279"/>
    <row r="165" s="279"/>
    <row r="166" s="279"/>
    <row r="167" s="279"/>
    <row r="168" s="279"/>
    <row r="169" s="279"/>
    <row r="170" s="279"/>
    <row r="171" s="279"/>
    <row r="172" s="279"/>
    <row r="173" s="279"/>
    <row r="174" s="279"/>
    <row r="175" s="279"/>
    <row r="176" s="279"/>
    <row r="177" s="279"/>
    <row r="178" s="279"/>
    <row r="179" s="279"/>
    <row r="180" s="279"/>
    <row r="181" s="279"/>
    <row r="182" s="279"/>
    <row r="183" s="279"/>
    <row r="184" s="279"/>
    <row r="185" s="279"/>
    <row r="186" s="279"/>
    <row r="187" s="279"/>
    <row r="188" s="279"/>
    <row r="189" s="279"/>
    <row r="190" s="279"/>
    <row r="191" s="279"/>
    <row r="192" s="279"/>
    <row r="193" s="279"/>
    <row r="194" s="279"/>
    <row r="195" s="279"/>
    <row r="196" s="279"/>
    <row r="197" s="279"/>
    <row r="198" s="279"/>
    <row r="199" s="279"/>
    <row r="200" s="279"/>
    <row r="201" s="279"/>
    <row r="202" s="279"/>
    <row r="203" s="279"/>
    <row r="204" s="279"/>
    <row r="205" s="279"/>
    <row r="206" s="279"/>
    <row r="207" s="279"/>
    <row r="208" s="279"/>
    <row r="209" s="279"/>
    <row r="210" s="279"/>
    <row r="211" s="279"/>
    <row r="212" s="279"/>
    <row r="213" s="279"/>
    <row r="214" s="279"/>
    <row r="215" s="279"/>
    <row r="216" s="279"/>
    <row r="217" s="279"/>
    <row r="218" s="279"/>
    <row r="219" s="279"/>
    <row r="220" s="279"/>
    <row r="221" s="279"/>
    <row r="222" s="279"/>
    <row r="223" s="279"/>
    <row r="224" s="279"/>
    <row r="225" s="279"/>
    <row r="226" s="279"/>
    <row r="227" s="279"/>
    <row r="228" s="279"/>
    <row r="229" s="279"/>
    <row r="230" s="279"/>
    <row r="231" s="279"/>
    <row r="232" s="279"/>
    <row r="233" s="279"/>
    <row r="234" s="279"/>
    <row r="235" s="279"/>
    <row r="236" s="279"/>
    <row r="237" s="279"/>
    <row r="238" s="279"/>
    <row r="239" s="279"/>
    <row r="240" s="279"/>
    <row r="241" s="279"/>
    <row r="242" s="279"/>
    <row r="243" s="279"/>
    <row r="244" s="279"/>
    <row r="245" s="279"/>
    <row r="246" s="279"/>
    <row r="247" s="279"/>
    <row r="248" s="279"/>
    <row r="249" s="279"/>
    <row r="250" s="279"/>
    <row r="251" s="279"/>
    <row r="252" s="279"/>
    <row r="253" s="279"/>
    <row r="254" s="279"/>
    <row r="255" s="279"/>
    <row r="256" s="279"/>
    <row r="257" s="279"/>
    <row r="258" s="279"/>
    <row r="259" s="279"/>
    <row r="260" s="279"/>
    <row r="261" s="279"/>
    <row r="262" s="279"/>
    <row r="263" s="279"/>
    <row r="264" s="279"/>
    <row r="265" s="279"/>
    <row r="266" s="279"/>
    <row r="267" s="279"/>
    <row r="268" s="279"/>
    <row r="269" s="279"/>
    <row r="270" s="279"/>
    <row r="271" s="279"/>
    <row r="272" s="279"/>
    <row r="273" s="279"/>
    <row r="274" s="279"/>
    <row r="275" s="279"/>
    <row r="276" s="279"/>
    <row r="277" s="279"/>
    <row r="278" s="279"/>
    <row r="279" s="279"/>
    <row r="280" s="279"/>
    <row r="281" s="279"/>
    <row r="282" s="279"/>
    <row r="283" s="279"/>
    <row r="284" s="279"/>
    <row r="285" s="279"/>
    <row r="286" s="279"/>
    <row r="287" s="279"/>
    <row r="288" s="279"/>
    <row r="289" s="279"/>
    <row r="290" s="279"/>
    <row r="291" s="279"/>
    <row r="292" s="279"/>
    <row r="293" s="279"/>
    <row r="294" s="279"/>
    <row r="295" s="279"/>
    <row r="296" s="279"/>
    <row r="297" s="279"/>
    <row r="298" s="279"/>
    <row r="299" s="279"/>
    <row r="300" s="279"/>
    <row r="301" s="279"/>
    <row r="302" s="279"/>
    <row r="303" s="279"/>
    <row r="304" s="279"/>
    <row r="305" s="279"/>
    <row r="306" s="279"/>
    <row r="307" s="279"/>
    <row r="308" s="279"/>
    <row r="309" s="279"/>
    <row r="310" s="279"/>
    <row r="311" s="279"/>
    <row r="312" s="279"/>
    <row r="313" s="279"/>
    <row r="314" s="279"/>
    <row r="315" s="279"/>
    <row r="316" s="279"/>
    <row r="317" s="279"/>
    <row r="318" s="279"/>
    <row r="319" s="279"/>
    <row r="320" s="279"/>
    <row r="321" s="279"/>
    <row r="322" s="279"/>
    <row r="323" s="279"/>
    <row r="324" s="279"/>
    <row r="325" s="279"/>
    <row r="326" s="279"/>
  </sheetData>
  <mergeCells count="336">
    <mergeCell ref="C69:D71"/>
    <mergeCell ref="C125:D127"/>
    <mergeCell ref="H33:I35"/>
    <mergeCell ref="C37:D39"/>
    <mergeCell ref="D3:E4"/>
    <mergeCell ref="H113:I115"/>
    <mergeCell ref="B121:B124"/>
    <mergeCell ref="C116:D116"/>
    <mergeCell ref="C145:D147"/>
    <mergeCell ref="J148:O148"/>
    <mergeCell ref="C45:D47"/>
    <mergeCell ref="H53:I55"/>
    <mergeCell ref="C64:D64"/>
    <mergeCell ref="C14:P14"/>
    <mergeCell ref="H133:I135"/>
    <mergeCell ref="J89:O91"/>
    <mergeCell ref="B61:B64"/>
    <mergeCell ref="H117:I119"/>
    <mergeCell ref="P21:P24"/>
    <mergeCell ref="J137:O139"/>
    <mergeCell ref="J56:O56"/>
    <mergeCell ref="C148:D148"/>
    <mergeCell ref="B53:B56"/>
    <mergeCell ref="E97:G99"/>
    <mergeCell ref="H61:I63"/>
    <mergeCell ref="E81:G83"/>
    <mergeCell ref="C105:D107"/>
    <mergeCell ref="H96:I96"/>
    <mergeCell ref="J33:O35"/>
    <mergeCell ref="H81:I83"/>
    <mergeCell ref="P89:P92"/>
    <mergeCell ref="H37:I39"/>
    <mergeCell ref="H120:I120"/>
    <mergeCell ref="C28:D28"/>
    <mergeCell ref="J60:O60"/>
    <mergeCell ref="E92:G92"/>
    <mergeCell ref="P73:P76"/>
    <mergeCell ref="B41:B44"/>
    <mergeCell ref="H145:I147"/>
    <mergeCell ref="J117:O119"/>
    <mergeCell ref="C92:D92"/>
    <mergeCell ref="J37:O39"/>
    <mergeCell ref="E60:G60"/>
    <mergeCell ref="E84:G84"/>
    <mergeCell ref="P25:P28"/>
    <mergeCell ref="E61:G63"/>
    <mergeCell ref="H148:I148"/>
    <mergeCell ref="J85:O87"/>
    <mergeCell ref="E80:G80"/>
    <mergeCell ref="H41:I43"/>
    <mergeCell ref="E45:G47"/>
    <mergeCell ref="P77:P80"/>
    <mergeCell ref="C124:D124"/>
    <mergeCell ref="E144:G144"/>
    <mergeCell ref="J125:O127"/>
    <mergeCell ref="E72:G72"/>
    <mergeCell ref="P141:P144"/>
    <mergeCell ref="H49:I51"/>
    <mergeCell ref="B69:B72"/>
    <mergeCell ref="H85:I87"/>
    <mergeCell ref="J145:O147"/>
    <mergeCell ref="C132:D132"/>
    <mergeCell ref="H28:I28"/>
    <mergeCell ref="C61:D63"/>
    <mergeCell ref="J64:O64"/>
    <mergeCell ref="H69:I71"/>
    <mergeCell ref="E125:G127"/>
    <mergeCell ref="B133:B136"/>
    <mergeCell ref="E24:G24"/>
    <mergeCell ref="C57:D59"/>
    <mergeCell ref="H65:I67"/>
    <mergeCell ref="E121:G123"/>
    <mergeCell ref="H48:I48"/>
    <mergeCell ref="H104:I104"/>
    <mergeCell ref="E145:G147"/>
    <mergeCell ref="C77:D79"/>
    <mergeCell ref="E88:G88"/>
    <mergeCell ref="E141:G143"/>
    <mergeCell ref="J68:O68"/>
    <mergeCell ref="C108:D108"/>
    <mergeCell ref="E49:G51"/>
    <mergeCell ref="P81:P84"/>
    <mergeCell ref="C128:D128"/>
    <mergeCell ref="P65:P68"/>
    <mergeCell ref="C100:D100"/>
    <mergeCell ref="C112:D112"/>
    <mergeCell ref="C141:D143"/>
    <mergeCell ref="J45:O47"/>
    <mergeCell ref="J101:O103"/>
    <mergeCell ref="P145:P148"/>
    <mergeCell ref="B73:B76"/>
    <mergeCell ref="H89:I91"/>
    <mergeCell ref="C44:D44"/>
    <mergeCell ref="C84:D84"/>
    <mergeCell ref="J113:O115"/>
    <mergeCell ref="C80:D80"/>
    <mergeCell ref="B57:B60"/>
    <mergeCell ref="J109:O111"/>
    <mergeCell ref="B137:B140"/>
    <mergeCell ref="J133:O135"/>
    <mergeCell ref="J129:O131"/>
    <mergeCell ref="E53:G55"/>
    <mergeCell ref="J48:O48"/>
    <mergeCell ref="E109:G111"/>
    <mergeCell ref="C21:D23"/>
    <mergeCell ref="E129:G131"/>
    <mergeCell ref="J88:O88"/>
    <mergeCell ref="C140:D140"/>
    <mergeCell ref="H92:I92"/>
    <mergeCell ref="N3:P3"/>
    <mergeCell ref="P29:P32"/>
    <mergeCell ref="P85:P88"/>
    <mergeCell ref="B141:B144"/>
    <mergeCell ref="C24:D24"/>
    <mergeCell ref="H17:I20"/>
    <mergeCell ref="P69:P72"/>
    <mergeCell ref="C104:D104"/>
    <mergeCell ref="H112:I112"/>
    <mergeCell ref="H141:I143"/>
    <mergeCell ref="J49:O51"/>
    <mergeCell ref="B21:B24"/>
    <mergeCell ref="J132:O132"/>
    <mergeCell ref="C89:D91"/>
    <mergeCell ref="H44:I44"/>
    <mergeCell ref="C88:D88"/>
    <mergeCell ref="C101:D103"/>
    <mergeCell ref="C73:D75"/>
    <mergeCell ref="E137:G139"/>
    <mergeCell ref="P109:P112"/>
    <mergeCell ref="H64:I64"/>
    <mergeCell ref="J41:O43"/>
    <mergeCell ref="J17:P17"/>
    <mergeCell ref="E65:G67"/>
    <mergeCell ref="C93:D95"/>
    <mergeCell ref="E57:G59"/>
    <mergeCell ref="H45:I47"/>
    <mergeCell ref="E76:G76"/>
    <mergeCell ref="E17:G20"/>
    <mergeCell ref="H21:I23"/>
    <mergeCell ref="C25:D27"/>
    <mergeCell ref="E41:G43"/>
    <mergeCell ref="J92:O92"/>
    <mergeCell ref="C52:D52"/>
    <mergeCell ref="P37:P40"/>
    <mergeCell ref="H57:I59"/>
    <mergeCell ref="P97:P100"/>
    <mergeCell ref="B65:B68"/>
    <mergeCell ref="H140:I140"/>
    <mergeCell ref="C144:D144"/>
    <mergeCell ref="P33:P36"/>
    <mergeCell ref="H105:I107"/>
    <mergeCell ref="J112:O112"/>
    <mergeCell ref="C72:D72"/>
    <mergeCell ref="H124:I124"/>
    <mergeCell ref="H24:I24"/>
    <mergeCell ref="J61:O63"/>
    <mergeCell ref="H77:I79"/>
    <mergeCell ref="B89:B92"/>
    <mergeCell ref="B129:B132"/>
    <mergeCell ref="J84:O84"/>
    <mergeCell ref="J97:O99"/>
    <mergeCell ref="H116:I116"/>
    <mergeCell ref="C53:D55"/>
    <mergeCell ref="B25:B28"/>
    <mergeCell ref="E117:G119"/>
    <mergeCell ref="B85:B88"/>
    <mergeCell ref="C136:D136"/>
    <mergeCell ref="J69:O71"/>
    <mergeCell ref="J81:O83"/>
    <mergeCell ref="H101:I103"/>
    <mergeCell ref="N2:P2"/>
    <mergeCell ref="J80:O80"/>
    <mergeCell ref="P113:P116"/>
    <mergeCell ref="E40:G40"/>
    <mergeCell ref="E69:G71"/>
    <mergeCell ref="B77:B80"/>
    <mergeCell ref="C97:D99"/>
    <mergeCell ref="E108:G108"/>
    <mergeCell ref="E104:G104"/>
    <mergeCell ref="E133:G135"/>
    <mergeCell ref="H25:I27"/>
    <mergeCell ref="B29:B32"/>
    <mergeCell ref="E124:G124"/>
    <mergeCell ref="C137:D139"/>
    <mergeCell ref="H52:I52"/>
    <mergeCell ref="C56:D56"/>
    <mergeCell ref="H108:I108"/>
    <mergeCell ref="E120:G120"/>
    <mergeCell ref="P101:P104"/>
    <mergeCell ref="H144:I144"/>
    <mergeCell ref="J121:O123"/>
    <mergeCell ref="H109:I111"/>
    <mergeCell ref="H72:I72"/>
    <mergeCell ref="C76:D76"/>
    <mergeCell ref="C120:D120"/>
    <mergeCell ref="J105:O107"/>
    <mergeCell ref="C36:D36"/>
    <mergeCell ref="H128:I128"/>
    <mergeCell ref="J18:O20"/>
    <mergeCell ref="B37:B40"/>
    <mergeCell ref="J141:O143"/>
    <mergeCell ref="N4:P4"/>
    <mergeCell ref="E25:G27"/>
    <mergeCell ref="J44:O44"/>
    <mergeCell ref="J28:O28"/>
    <mergeCell ref="J57:O59"/>
    <mergeCell ref="J53:O55"/>
    <mergeCell ref="E73:G75"/>
    <mergeCell ref="E44:G44"/>
    <mergeCell ref="B81:B84"/>
    <mergeCell ref="J77:O79"/>
    <mergeCell ref="E28:G28"/>
    <mergeCell ref="P41:P44"/>
    <mergeCell ref="J108:O108"/>
    <mergeCell ref="H137:I139"/>
    <mergeCell ref="B93:B96"/>
    <mergeCell ref="P18:P20"/>
    <mergeCell ref="J104:O104"/>
    <mergeCell ref="H56:I56"/>
    <mergeCell ref="H68:I68"/>
    <mergeCell ref="P49:P52"/>
    <mergeCell ref="B105:B108"/>
    <mergeCell ref="B7:P8"/>
    <mergeCell ref="B17:B20"/>
    <mergeCell ref="J128:O128"/>
    <mergeCell ref="C29:D31"/>
    <mergeCell ref="J32:O32"/>
    <mergeCell ref="C85:D87"/>
    <mergeCell ref="H93:I95"/>
    <mergeCell ref="C121:D123"/>
    <mergeCell ref="J124:O124"/>
    <mergeCell ref="H132:I132"/>
    <mergeCell ref="H36:I36"/>
    <mergeCell ref="C40:D40"/>
    <mergeCell ref="E77:G79"/>
    <mergeCell ref="B101:B104"/>
    <mergeCell ref="J96:O96"/>
    <mergeCell ref="E32:G32"/>
    <mergeCell ref="E112:G112"/>
    <mergeCell ref="C60:D60"/>
    <mergeCell ref="J76:O76"/>
    <mergeCell ref="E56:G56"/>
    <mergeCell ref="E96:G96"/>
    <mergeCell ref="P125:P128"/>
    <mergeCell ref="H80:I80"/>
    <mergeCell ref="E21:G23"/>
    <mergeCell ref="P53:P56"/>
    <mergeCell ref="P45:P48"/>
    <mergeCell ref="H136:I136"/>
    <mergeCell ref="J73:O75"/>
    <mergeCell ref="P117:P120"/>
    <mergeCell ref="B45:B48"/>
    <mergeCell ref="E140:G140"/>
    <mergeCell ref="B125:B128"/>
    <mergeCell ref="B97:B100"/>
    <mergeCell ref="J93:O95"/>
    <mergeCell ref="C68:D68"/>
    <mergeCell ref="B109:B112"/>
    <mergeCell ref="C33:D35"/>
    <mergeCell ref="J36:O36"/>
    <mergeCell ref="H97:I99"/>
    <mergeCell ref="H121:I123"/>
    <mergeCell ref="H40:I40"/>
    <mergeCell ref="B145:B148"/>
    <mergeCell ref="J100:O100"/>
    <mergeCell ref="E36:G36"/>
    <mergeCell ref="P105:P108"/>
    <mergeCell ref="E116:G116"/>
    <mergeCell ref="H60:I60"/>
    <mergeCell ref="E101:G103"/>
    <mergeCell ref="E100:G100"/>
    <mergeCell ref="E136:G136"/>
    <mergeCell ref="C65:D67"/>
    <mergeCell ref="E85:G87"/>
    <mergeCell ref="C109:D111"/>
    <mergeCell ref="P57:P60"/>
    <mergeCell ref="H100:I100"/>
    <mergeCell ref="C129:D131"/>
    <mergeCell ref="H84:I84"/>
    <mergeCell ref="J21:O23"/>
    <mergeCell ref="C48:D48"/>
    <mergeCell ref="B49:B52"/>
    <mergeCell ref="P93:P96"/>
    <mergeCell ref="B3:C4"/>
    <mergeCell ref="J120:O120"/>
    <mergeCell ref="E37:G39"/>
    <mergeCell ref="C32:D32"/>
    <mergeCell ref="B113:B116"/>
    <mergeCell ref="C81:D83"/>
    <mergeCell ref="J140:O140"/>
    <mergeCell ref="J40:O40"/>
    <mergeCell ref="E64:G64"/>
    <mergeCell ref="P133:P136"/>
    <mergeCell ref="H125:I127"/>
    <mergeCell ref="C13:P13"/>
    <mergeCell ref="E29:G31"/>
    <mergeCell ref="J24:O24"/>
    <mergeCell ref="J65:O67"/>
    <mergeCell ref="E128:G128"/>
    <mergeCell ref="C49:D51"/>
    <mergeCell ref="E148:G148"/>
    <mergeCell ref="C17:D18"/>
    <mergeCell ref="H29:I31"/>
    <mergeCell ref="C113:D115"/>
    <mergeCell ref="E89:G91"/>
    <mergeCell ref="P61:P64"/>
    <mergeCell ref="B117:B120"/>
    <mergeCell ref="C19:D20"/>
    <mergeCell ref="C41:D43"/>
    <mergeCell ref="E105:G107"/>
    <mergeCell ref="H129:I131"/>
    <mergeCell ref="H88:I88"/>
    <mergeCell ref="C133:D135"/>
    <mergeCell ref="J25:O27"/>
    <mergeCell ref="H73:I75"/>
    <mergeCell ref="C117:D119"/>
    <mergeCell ref="H32:I32"/>
    <mergeCell ref="J52:O52"/>
    <mergeCell ref="E113:G115"/>
    <mergeCell ref="B33:B36"/>
    <mergeCell ref="J144:O144"/>
    <mergeCell ref="E68:G68"/>
    <mergeCell ref="P137:P140"/>
    <mergeCell ref="J72:O72"/>
    <mergeCell ref="J116:O116"/>
    <mergeCell ref="E33:G35"/>
    <mergeCell ref="E93:G95"/>
    <mergeCell ref="E52:G52"/>
    <mergeCell ref="P121:P124"/>
    <mergeCell ref="E132:G132"/>
    <mergeCell ref="H76:I76"/>
    <mergeCell ref="E48:G48"/>
    <mergeCell ref="J136:O136"/>
    <mergeCell ref="C96:D96"/>
    <mergeCell ref="J29:O31"/>
    <mergeCell ref="P129:P132"/>
  </mergeCells>
  <pageMargins left="0.2362204724409449" right="0.2362204724409449" top="0.1574803149606299" bottom="0.1574803149606299" header="0.3149606299212598" footer="0.3149606299212598"/>
  <pageSetup orientation="landscape" paperSize="9" scale="95" fitToHeight="0"/>
  <rowBreaks count="6" manualBreakCount="6">
    <brk id="44" min="0" max="16383" man="1"/>
    <brk id="92" min="0" max="16383" man="1"/>
    <brk id="152" min="0" max="16383" man="1"/>
    <brk id="172" min="0" max="16383" man="1"/>
    <brk id="236" min="0" max="16383" man="1"/>
    <brk id="284" min="0" max="16383" man="1"/>
  </rowBreaks>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hidemi</dc:creator>
  <dcterms:created xsi:type="dcterms:W3CDTF">2018-08-21T06:24:55Z</dcterms:created>
  <dcterms:modified xsi:type="dcterms:W3CDTF">2026-06-24T03:04:25Z</dcterms:modified>
  <cp:lastModifiedBy>慎一郎 柵木</cp:lastModifiedBy>
  <cp:lastPrinted>2026-05-22T05:33:15Z</cp:lastPrinted>
</cp:coreProperties>
</file>